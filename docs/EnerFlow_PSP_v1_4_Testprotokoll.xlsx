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vionaonline-my.sharepoint.com/personal/adiamantis_viona_rocks/Documents/IBB-JavaSpringBoot/Referenz-Projekt/Dokumentation/v1_6/"/>
    </mc:Choice>
  </mc:AlternateContent>
  <xr:revisionPtr revIDLastSave="62" documentId="11_E06CAC48C39383D719DB296CE3B0578D3FDE282B" xr6:coauthVersionLast="47" xr6:coauthVersionMax="47" xr10:uidLastSave="{581D2D2C-B682-D34D-8078-60801A0AEDE1}"/>
  <bookViews>
    <workbookView xWindow="-38400" yWindow="-8480" windowWidth="38400" windowHeight="19860" tabRatio="500" activeTab="3" xr2:uid="{00000000-000D-0000-FFFF-FFFF00000000}"/>
  </bookViews>
  <sheets>
    <sheet name="PSP" sheetId="1" r:id="rId1"/>
    <sheet name="Historie" sheetId="2" r:id="rId2"/>
    <sheet name="AP-Beschreibung" sheetId="3" r:id="rId3"/>
    <sheet name="Zeitplan und Statusübersicht" sheetId="4" r:id="rId4"/>
    <sheet name="Testprotokolle" sheetId="5" r:id="rId5"/>
    <sheet name="Hinweise zu dieser Datei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4" l="1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F6" i="4"/>
</calcChain>
</file>

<file path=xl/sharedStrings.xml><?xml version="1.0" encoding="utf-8"?>
<sst xmlns="http://schemas.openxmlformats.org/spreadsheetml/2006/main" count="577" uniqueCount="300">
  <si>
    <t>Projektstrukturplan</t>
  </si>
  <si>
    <t>EnerFlow – Intelligentes Energiemanagementsystem</t>
  </si>
  <si>
    <t>Projekt:</t>
  </si>
  <si>
    <t>EnerFlow v1.4</t>
  </si>
  <si>
    <t>Beginn:</t>
  </si>
  <si>
    <t>Auftraggeber:</t>
  </si>
  <si>
    <t>Energy-Musterbeispiel AG</t>
  </si>
  <si>
    <t>Abschluss:</t>
  </si>
  <si>
    <t>Auftragnehmer:</t>
  </si>
  <si>
    <t>Athanasios Diamantis</t>
  </si>
  <si>
    <t>Verfügbare Tage:</t>
  </si>
  <si>
    <t>Brandenburgische Str. 62</t>
  </si>
  <si>
    <t>Geplante Tage:</t>
  </si>
  <si>
    <t>15566 Schöneiche bei Berlin, Germany</t>
  </si>
  <si>
    <t>Lfd.Nr.</t>
  </si>
  <si>
    <t>ID</t>
  </si>
  <si>
    <t>Vorgang</t>
  </si>
  <si>
    <t>Beschreibung (Kurzform)</t>
  </si>
  <si>
    <t>Dauer (AT)</t>
  </si>
  <si>
    <t>Beginn</t>
  </si>
  <si>
    <t>Ende SOLL</t>
  </si>
  <si>
    <t>Sprint</t>
  </si>
  <si>
    <t>Phase 0 – Marketing-Machbarkeit</t>
  </si>
  <si>
    <t>Machbarkeitsstudie Marketing-Projekt (Bewegungsdaten) – abgelehnt (DSGVO)</t>
  </si>
  <si>
    <t>–</t>
  </si>
  <si>
    <t>Voruntersuchung EnerFlow</t>
  </si>
  <si>
    <t>Analyse Schnittstellen WP, Batterie; Machbarkeitsstudie EnerFlow</t>
  </si>
  <si>
    <t>IN</t>
  </si>
  <si>
    <t>Initiierung</t>
  </si>
  <si>
    <t>Projektplanung, User Stories v1.1, Pflichtenheft v1.1 (Kickoff 27.05.)</t>
  </si>
  <si>
    <t>MS1</t>
  </si>
  <si>
    <t>Projektstart / Kickoff</t>
  </si>
  <si>
    <t>Meilenstein: Freigabe Pflichtenheft v1.1</t>
  </si>
  <si>
    <t>SP1</t>
  </si>
  <si>
    <t>Sprint 1 – Geräteschnittstellen</t>
  </si>
  <si>
    <t>US-03-01, US-03-02, US-03-03, US-06-02: WP + Batterie anbinden, Gerätekonfiguration</t>
  </si>
  <si>
    <t>Sprint 1</t>
  </si>
  <si>
    <t>Grund für Planungsverschiebung</t>
  </si>
  <si>
    <t>AP1.1</t>
  </si>
  <si>
    <t>Novelan WP: WebSocket-Client</t>
  </si>
  <si>
    <t>Java WebSocket-Client, Login, REFRESH, GET, SET, Reconnect</t>
  </si>
  <si>
    <t>AP1.2</t>
  </si>
  <si>
    <t>Sonnen-Batterie: REST-Client</t>
  </si>
  <si>
    <t>Spring WebClient gegen /api/v2/status, API-Token</t>
  </si>
  <si>
    <t>neue Zeiten: Siehe Zeitplan und Statusübersicht</t>
  </si>
  <si>
    <t>AP1.3</t>
  </si>
  <si>
    <t>Gerätekonfiguration anlegen (US-06-02)</t>
  </si>
  <si>
    <t>device_config DB-Tabelle, Konfig-Maske Anlagenverwalter, Verbindungstest</t>
  </si>
  <si>
    <t>MS2</t>
  </si>
  <si>
    <t>Schnittstellen abgeschlossen</t>
  </si>
  <si>
    <t>Meilenstein: alle Gerätedaten im System verfügbar</t>
  </si>
  <si>
    <t>SP2</t>
  </si>
  <si>
    <t>Sprint 2 – Automatisierungslogik</t>
  </si>
  <si>
    <t>US-02-01, US-02-02, US-02-03, US-02-04: Kernlogik EnerFlow</t>
  </si>
  <si>
    <t>Sprint 2</t>
  </si>
  <si>
    <t>AP2.1</t>
  </si>
  <si>
    <t>Entscheidungsservice</t>
  </si>
  <si>
    <t>300W-Schwelle, Flapping-Schutz 120s, last_known_setpoint, Neustart-Sicherheit Option C</t>
  </si>
  <si>
    <t>AP2.2</t>
  </si>
  <si>
    <t>enerflow_state + Scheduler + Toggle</t>
  </si>
  <si>
    <t>DB-Tabelle enerflow_state, Spring @Scheduled 60s, Toggle aktivieren/deaktivieren (US-02-04)</t>
  </si>
  <si>
    <t>MS3</t>
  </si>
  <si>
    <t>Automatisierung funktionsfähig</t>
  </si>
  <si>
    <t>Meilenstein: WP-Steuerung per Überschuss aktiv, Toggle funktioniert</t>
  </si>
  <si>
    <t>SP3</t>
  </si>
  <si>
    <t>Sprint 3 – Datenhaltung &amp; Security</t>
  </si>
  <si>
    <t>US-04-01, US-04-02, US-05-01, US-06-01</t>
  </si>
  <si>
    <t>Sprint 3</t>
  </si>
  <si>
    <t>AP3.1</t>
  </si>
  <si>
    <t>Datenbankmodellierung</t>
  </si>
  <si>
    <t>PostgreSQL, JPA-Entities, Flyway-Migrationen, Tankgrößen, enerflow_state</t>
  </si>
  <si>
    <t>AP3.2</t>
  </si>
  <si>
    <t>Zeitreihen-Speicherung</t>
  </si>
  <si>
    <t>heatpump_snapshot, battery_snapshot, control_log (Audit-Log), Archivierung</t>
  </si>
  <si>
    <t>AP3.3</t>
  </si>
  <si>
    <t>Security &amp; Benutzerverwaltung</t>
  </si>
  <si>
    <t>Spring Security, BCrypt, JWT, ROLE_USER/MANAGER/ADMIN</t>
  </si>
  <si>
    <t>MS4</t>
  </si>
  <si>
    <t>Backend abgeschlossen</t>
  </si>
  <si>
    <t>Meilenstein: REST-API vollständig, Security aktiv</t>
  </si>
  <si>
    <t>SP4</t>
  </si>
  <si>
    <t>Sprint 4 – Dashboard &amp; UI</t>
  </si>
  <si>
    <t>US-01-01, US-01-02, US-01-03, US-01-04: Frontend</t>
  </si>
  <si>
    <t>Sprint 4</t>
  </si>
  <si>
    <t>AP4.1</t>
  </si>
  <si>
    <t>REST-API Endpunkte</t>
  </si>
  <si>
    <t>Spring Boot Controller für Dashboard-Daten, 10s Refresh</t>
  </si>
  <si>
    <t>AP4.2</t>
  </si>
  <si>
    <t>Dashboard-Frontend</t>
  </si>
  <si>
    <t>Echtzeit-Anzeige, Energiefluss-Animation, Einsparungen, Strompreis (US-01-04)</t>
  </si>
  <si>
    <t>MS5</t>
  </si>
  <si>
    <t>MVP abgeschlossen</t>
  </si>
  <si>
    <t>Meilenstein: Minimum Viable Product lauffähig</t>
  </si>
  <si>
    <t>SP5</t>
  </si>
  <si>
    <t>Sprint 5 – Docker &amp; Tests</t>
  </si>
  <si>
    <t>Containerisierung, Unit-/Integrationstests</t>
  </si>
  <si>
    <t>Sprint 5</t>
  </si>
  <si>
    <t>AP5.1</t>
  </si>
  <si>
    <t>Docker-Setup</t>
  </si>
  <si>
    <t>Dockerfile, docker-compose (App + PostgreSQL), restart policy: always</t>
  </si>
  <si>
    <t>AP5.2</t>
  </si>
  <si>
    <t>Testszenarien &amp; Protokolle</t>
  </si>
  <si>
    <t>Unit-Tests (JUnit 5, Mockito), Integrationstests, Testprotokoll</t>
  </si>
  <si>
    <t>MS6</t>
  </si>
  <si>
    <t>Systemtest abgeschlossen</t>
  </si>
  <si>
    <t>Meilenstein: alle Testprotokolle grün</t>
  </si>
  <si>
    <t>DO</t>
  </si>
  <si>
    <t>Dokumentation</t>
  </si>
  <si>
    <t>Pflichtenheft final, README.md (inkl. KI-Hinweis), Benutzerhandbuch</t>
  </si>
  <si>
    <t>AB</t>
  </si>
  <si>
    <t>Projektabschlussbericht</t>
  </si>
  <si>
    <t>Soll-Ist-Vergleich, Lessons Learned</t>
  </si>
  <si>
    <t>MS7</t>
  </si>
  <si>
    <t>Auslieferung / Abgabe</t>
  </si>
  <si>
    <t>Meilenstein: GitHub-Repo fertig, alle Dokumente übergeben</t>
  </si>
  <si>
    <t>MS8</t>
  </si>
  <si>
    <t>Projektende</t>
  </si>
  <si>
    <t>Meilenstein: Formaler Abschluss, letzter Puffer für Nachbesserungen</t>
  </si>
  <si>
    <t>Historie</t>
  </si>
  <si>
    <t>EnerFlow – Intelligentes Energiemanagementsystem  |  Athanasios Diamantis  |  Energy-Musterbeispiel AG</t>
  </si>
  <si>
    <t>Nr.</t>
  </si>
  <si>
    <t>Datum</t>
  </si>
  <si>
    <t>Geänderte ID</t>
  </si>
  <si>
    <t>Beschreibung</t>
  </si>
  <si>
    <t>Autor</t>
  </si>
  <si>
    <t>fertig</t>
  </si>
  <si>
    <t>Phase 0</t>
  </si>
  <si>
    <t>Marketing-Projekt Machbarkeit (Bewegungsdaten) – abgelehnt (DSGVO, keine validen Daten)</t>
  </si>
  <si>
    <t>A. Diamantis</t>
  </si>
  <si>
    <t>abgelehnt</t>
  </si>
  <si>
    <t>PSP v1.1, User Stories v1.1, Pflichtenheft v1.1; ROLE_MANAGER, Tankgrößen, 300W-Schwelle, Flapping-Schutz, last_known_setpoint, enerflow_state, 10s Dashboard-Refresh, KI-Hinweis Claude Sonnet 4.6</t>
  </si>
  <si>
    <t>AP1.1, AP1.2, AP1.3</t>
  </si>
  <si>
    <t>Novelan-WebSocket, Sonnen-REST, Gerätekonfiguration (US-06-02)</t>
  </si>
  <si>
    <t>SP1, AP1.2, AP1.3</t>
  </si>
  <si>
    <t>Sprint 1 vollständig abgeschlossen: AP1.2 (SonnenBatteryAdapter) und AP1.3 (DeviceConfigService, V2-Migration) fertiggestellt. Alle Geräteschnittstellen aktiv. PSP v1.3 aktualisiert, Projektende 21.07.2026.</t>
  </si>
  <si>
    <t>AP3.1–AP3.3</t>
  </si>
  <si>
    <t>Datenbankmodell, Zeitreihen, Audit-Log, Security ROLE_USER/MANAGER/ADMIN</t>
  </si>
  <si>
    <t>offen</t>
  </si>
  <si>
    <t>AP4.1, AP4.2</t>
  </si>
  <si>
    <t>REST-API 10s Refresh, Dashboard-Frontend, Strompreis (US-01-04)</t>
  </si>
  <si>
    <t>EnergyManagerScheduler implementiert (60s-Intervall, defensives try/catch gegen Scheduler-Stillstand bei Exceptions). Toggle-Bug in EnergyManagerService gefixt: Sollwert wurde bei Deaktivierung während aktivem Boost nicht zurückgesetzt. Technische Schuld dokumentiert: HeatpumpPollingScheduler (AP1.1) hat kein generisches try/catch um poll() — ein unerwarteter Fehler (z.B. WebSocket-Exception außerhalb des Reconnect-Pfads) würde den Scheduler dauerhaft stoppen. Empfehlung: Hardening in späterem Sprint nachziehen.</t>
  </si>
  <si>
    <t>fertig (Bugfix + Scheduler), technische Schuld offen</t>
  </si>
  <si>
    <t>Arbeitspakete</t>
  </si>
  <si>
    <t>EnerFlow – Intelligentes Energiemanagementsystem  |  Athanasios Diamantis</t>
  </si>
  <si>
    <t>Arbeitspaket AP1.1: Novelan WP: WebSocket-Client</t>
  </si>
  <si>
    <t>AP-Nr.</t>
  </si>
  <si>
    <t>Titel:</t>
  </si>
  <si>
    <t>Novelan WP: WebSocket-Client (Lesen)</t>
  </si>
  <si>
    <t>Dauer:</t>
  </si>
  <si>
    <t>3 AT</t>
  </si>
  <si>
    <t>Sprint:</t>
  </si>
  <si>
    <t>Beschreibung:</t>
  </si>
  <si>
    <t>Implementierung eines Java WebSocket-Clients für die Novelan Helox 5 Wärmepumpe (WPR 2.0). Verbindung über Port 8214 mit Protokoll Lux_WS. Authentifizierung, REFRESH-Navigation, GET-Datenabfrage. Hinweis: SET-Steuerbefehle sind über WebSocket nicht möglich (Firmware V3.92.x). Steuerung erfolgt über myUplink REST-API (AP1.1b).</t>
  </si>
  <si>
    <t>Ergebnis/Lieferobjekte:</t>
  </si>
  <si>
    <t>Lauffähige NovelanHeatpumpClient-Klasse (Java/Spring Boot)
Alle relevanten Messwerte werden ausgelesen (Temperatu ren, Status, Energie)
Reconnect-Logik implementiert
Kein SET-Befehl — Steuerung über AP1.1b (myUplink)</t>
  </si>
  <si>
    <t>Voraussetzungen:</t>
  </si>
  <si>
    <t>WebSocket-Bibliothek (org.java-websocket 1.6.0)
Jackson 3.x für JSON-Parsing
Zugang zur Wärmepumpe im lokalen Netzwerk</t>
  </si>
  <si>
    <t>Arbeitspaket AP1.1b: Novelan WP: myUplink REST-Client (Steuerung)</t>
  </si>
  <si>
    <t>AP1.1b</t>
  </si>
  <si>
    <t>Novelan WP: myUplink REST-Client (Steuerung)</t>
  </si>
  <si>
    <t>2 AT</t>
  </si>
  <si>
    <t>Implementierung eines REST-Clients für die myUplink Cloud API (api.myuplink.com/v2). OAuth2 Authentifizierung (Client Credentials Flow). PATCH /v2/devices/{deviceId}/points zum Setzen der Warmwasser-Solltemperatur. GET zum Verifizieren nach dem Setzen. Rate-Limit-Handling (25 req/min, exponentieller Backoff bei HTTP 429). Credentials über .env-Umgebungsvariablen.</t>
  </si>
  <si>
    <t>Lauffähiger MyUplinkClient (Spring WebClient)
OAuth2 Token-Verwaltung (automatische Erneuerung)
Solltemperatur wird korrekt gesetzt und verifiziert
Rate-Limit-Header werden ausgewertet
Fehlgeschlagene Requests werden mit max. 3 Versuchen wiederholt</t>
  </si>
  <si>
    <t>Spring WebClient (Spring Boot Starter WebFlux)
myUplink-Account mit registrierter App (Client-ID + Client-Secret)
Internet-Zugang (Cloud API)
Device-ID der Novelan Wärmepumpe in myUplink bekannt</t>
  </si>
  <si>
    <t>Arbeitspaket AP1.2: Sonnen-Batterie: REST-Client</t>
  </si>
  <si>
    <t>Implementierung eines REST-Clients für die Sonnen-Batterie. Anbindung an lokale REST-API (/api/v2/status). Auslesen von Ladestand, PV-Produktion, Hausverbrauch und Netzstatus.</t>
  </si>
  <si>
    <t>Lauffähiger BatteryClient (Spring WebClient)
Ladestand, PV-Produktion, Verbrauch werden korrekt ausgelesen
Authentifizierung per API-Token funktioniert</t>
  </si>
  <si>
    <t>Spring WebClient (Spring Boot Starter WebFlux)
API-Token der Sonnen-Batterie
Zugang zur Batterie im lokalen Netzwerk</t>
  </si>
  <si>
    <t>Arbeitspaket AP2.1: Entscheidungsservice</t>
  </si>
  <si>
    <t>Implementierung der zentralen Automatisierungslogik. Prüfung ob Batterie geladen (≥90%) UND PV-Überschuss &gt; 300W (konfigurierbar) UND stabil über 2 Messzyklen (120s — Flapping-Schutz). Vor erstem SET-Befehl: last_known_setpoint aus WP lesen und in enerflow_state speichern. Neustart-Sicherheit Option C: enerflow_active aus DB prüfen. Berücksichtigung Netzeinspeise-Sperr-Zeitfenster (US-02-02). Toggle EnerFlow aktiv/deaktiviert (US-02-04).</t>
  </si>
  <si>
    <t>EnergyManagerService implementiert alle Regeln aus US-02-01 bis US-02-04 | last_known_setpoint wird korrekt gespeichert und wiederhergestellt | Neustart-Sicherheit: enerflow_active aus DB wird beim Start geprüft | Flapping-Schutz: Anhebung erst nach 2 stabilen Messzyklen | JUnit 5 Tests für alle Entscheidungspfade</t>
  </si>
  <si>
    <t>AP1.1 und AP1.2 abgeschlossen | Konfigurierbare Parameter in application.yml | enerflow_state Tabelle in DB vorhanden</t>
  </si>
  <si>
    <t>Arbeitspaket AP3.1: Datenbankmodellierung</t>
  </si>
  <si>
    <t>ER-Diagramm dokumentiert | Alle JPA-Entities implementiert: heatpump_snapshot, battery_snapshot, control_log (Audit-Log), device_config, enerflow_state, device_info, app_user | Flyway-Migrationen laufen fehlerfrei | Indexe auf Timestamp-Spalten gesetzt</t>
  </si>
  <si>
    <t>ER-Diagramm dokumentiert
Alle JPA-Entities implementiert
Flyway-Migrationen laufen fehlerfrei
Indexe auf Timestamp-Spalten gesetzt</t>
  </si>
  <si>
    <t>PostgreSQL-Datenbank (Docker)
Spring Data JPA, Flyway</t>
  </si>
  <si>
    <t>Arbeitspaket AP4.2: Dashboard-Frontend</t>
  </si>
  <si>
    <t>Implementierung des Dashboards mit Echtzeit-Energiestatus, animiertem Energiefluss-Diagramm und Einsparungsanzeige. Rollenbasierte Anzeige. WP pulsiert visuell je nach Betriebszustand.</t>
  </si>
  <si>
    <t>Dashboard zeigt alle Werte aus US-01-01 in Echtzeit
Energiefluß-Animation gemäß US-01-02 funktioniert
Einsparungsanzeige (kWh + Euro) gemäß US-01-03 korrekt
Mobile-responsive Layout</t>
  </si>
  <si>
    <t>AP4.1 (REST-API) abgeschlossen
Security aktiv (AP3.3)</t>
  </si>
  <si>
    <t>Zeitplan und Statusübersicht</t>
  </si>
  <si>
    <t>Ende-SOLL</t>
  </si>
  <si>
    <t>Ende-IST</t>
  </si>
  <si>
    <t>Differenz</t>
  </si>
  <si>
    <t>Bemerkungen</t>
  </si>
  <si>
    <t>Alle Geräteschnittstellen abgeschlossen</t>
  </si>
  <si>
    <t>User Stories v1.1, PSP v1.1, Pflichtenheft v1.1 erstellt; KI-Hinweis dokumentiert</t>
  </si>
  <si>
    <t>Sprint gerissen – myUplink-Migration erforderte zusätzliche Analyse und Implementierung</t>
  </si>
  <si>
    <t>Novelan WP WebSocket-Client</t>
  </si>
  <si>
    <t>WebSocket Lesen implementiert und getestet; SET über WebSocket nicht möglich (Firmware)</t>
  </si>
  <si>
    <t>Novelan WP myUplink REST-Client (Steuerung)</t>
  </si>
  <si>
    <t>Da über WebSocket kein Set-Zugang auf Temperatur: NEU US-03-02 myUplink OAuth2 + PATCH endpoint</t>
  </si>
  <si>
    <t>Sonnen-Batterie REST-Client</t>
  </si>
  <si>
    <t>myUplink OAuth2 + PATCH Endpoint, Unit- und Integrationstests grün, PR gemergt</t>
  </si>
  <si>
    <t>Sprint-Aufgaben mit Datum neu geplant</t>
  </si>
  <si>
    <t>Gerätekonfiguration (US-06-02)</t>
  </si>
  <si>
    <t>device_config Tabelle (V2 Migration), DeviceConfigService, Default-Werte in DB</t>
  </si>
  <si>
    <t>Sprint 1 abgeschlossen (15.06.2026) — AP1.1, AP1.1b, AP1.2, AP1.3 fertig</t>
  </si>
  <si>
    <t>Sprint 2 – Automatisierung</t>
  </si>
  <si>
    <t>300W, Flapping-Schutz, last_known_setpoint, Neustart-Sicherheit</t>
  </si>
  <si>
    <t>US-02-04 Toggle aktivieren/deaktivieren</t>
  </si>
  <si>
    <t>Automatisierung aktiv</t>
  </si>
  <si>
    <t>Sprint 2: 2 Tage vor Ende abgeschlossen, daher Ziehe ich Sprint 3 auf Beginn 18.06.26 vor.</t>
  </si>
  <si>
    <t>Sprint 3 – Daten &amp; Security</t>
  </si>
  <si>
    <t>inkl. enerflow_state, device_config</t>
  </si>
  <si>
    <t>Audit-Log control_log</t>
  </si>
  <si>
    <t>ROLE_USER/MANAGER/ADMIN</t>
  </si>
  <si>
    <t>10s Dashboard-Refresh</t>
  </si>
  <si>
    <t>inkl. Strompreis US-01-04</t>
  </si>
  <si>
    <t>restart policy: always</t>
  </si>
  <si>
    <t>README inkl. KI-Hinweis</t>
  </si>
  <si>
    <t>GitHub-Repo + alle Dokumente</t>
  </si>
  <si>
    <t>Letzter Puffer für Nachbesserungen</t>
  </si>
  <si>
    <t>Testprotokolle</t>
  </si>
  <si>
    <t>Testszenario</t>
  </si>
  <si>
    <t>Zugehörige US</t>
  </si>
  <si>
    <t>Letzter Test</t>
  </si>
  <si>
    <t>Status</t>
  </si>
  <si>
    <t>Login mit gültigen Credentials aller 3 Rollen (USER/MANAGER/ADMIN)</t>
  </si>
  <si>
    <t>US-04-01</t>
  </si>
  <si>
    <t>Nutzerladen inkl. Sperr-/Ablaufzustand unit-getestet (EnerFlowUserDetailsServiceTest, Bestandstest, 4 Tests). End-to-End-Login mit allen 3 Rollen weiterhin manuell zu verifizieren.</t>
  </si>
  <si>
    <t>Login mit ungültigem Passwort – Sperrung nach 5 Versuchen</t>
  </si>
  <si>
    <t>teilweise abgedeckt</t>
  </si>
  <si>
    <t>Sperrlogik nach 5 Fehlversuchen unit-getestet: LoginAttemptServiceTest#onFailedLogin_locksAccountAfterMaxAttempts (Bestandstest). End-to-End-Verifikation über echten Login-Endpoint noch offen.</t>
  </si>
  <si>
    <t>Rollenbasierter Zugriff: USER sieht keine Manager/Admin-Seiten</t>
  </si>
  <si>
    <t>US-04-02</t>
  </si>
  <si>
    <t>Kein automatisierter Test fuer rollenbasierte UI-Sichtbarkeit vorhanden.</t>
  </si>
  <si>
    <t>WebSocket-Verbindung zur Wärmepumpe aufbauen + Reconnect</t>
  </si>
  <si>
    <t>US-03-01</t>
  </si>
  <si>
    <t>2026-07-03</t>
  </si>
  <si>
    <t>WebSocket-Verbindung + Messwertempfang manuell im Docker-Testlauf beobachtet (AP5.1, siehe Container-Logs 'Message received'). Reconnect-Verhalten nicht separat getestet.</t>
  </si>
  <si>
    <t>Alle WP-Messwerte werden korrekt ausgelesen</t>
  </si>
  <si>
    <t>erledigt (manuell verifiziert)</t>
  </si>
  <si>
    <t>Realtime-Messwerte (Temperaturen, Betriebszustand) im Docker-Log waehrend AP5.1-Testlauf bestaetigt empfangen.</t>
  </si>
  <si>
    <t>WP-Solltemperatur setzen, verifizieren und protokollieren</t>
  </si>
  <si>
    <t>US-03-02</t>
  </si>
  <si>
    <t>2026-07-07</t>
  </si>
  <si>
    <t>MyUplinkRestAdapterTestIT (3 Tests) erfolgreich gegen reale myUplink-API ausgeführt: Token-Refresh, Setzen des Sollwerts auf 48.0°C bestaetigt. Protokollierung im control_log abgedeckt durch EnergyManagerServiceTest.</t>
  </si>
  <si>
    <t>Sonnen-Batterie REST-API liefert korrekte Werte</t>
  </si>
  <si>
    <t>US-03-03</t>
  </si>
  <si>
    <t>SonnenBatteryAdapterTestIT (5 Tests) erfolgreich gegen reale Sonnen-API ausgefuehrt (SOC, Produktion, Ueberschuss, Lade-/Entladezustand).</t>
  </si>
  <si>
    <t>Gerätekonfiguration: IP + Tankgrößen speichern, Verbindungstest</t>
  </si>
  <si>
    <t>US-06-02</t>
  </si>
  <si>
    <t>2026-07-06</t>
  </si>
  <si>
    <t>Lese-/Fallback-Logik der Konfigurationswerte unit-getestet (DeviceConfigServiceTest, 10 Tests, heute verifiziert). Speichern ueber UI + Verbindungstest zur Waermepumpe nicht automatisiert getestet.</t>
  </si>
  <si>
    <t>Automatisierung: WP-Anhebung bei Überschuss &gt; 300W + Batterie ≥ 90%</t>
  </si>
  <si>
    <t>US-02-01</t>
  </si>
  <si>
    <t>Abgedeckt durch EnergyManagerServiceTest (Bestandstest, mehrere Szenarien). Ausfuehrung im Rahmen des vollstaendigen mvn test vor Sprintabschluss zu bestaetigen.</t>
  </si>
  <si>
    <t>Flapping-Schutz: Anhebung erst nach 2 stabilen Messzyklen (120s)</t>
  </si>
  <si>
    <t>Flapping-Schutz abgedeckt durch EnergyManagerServiceTest (Bestandstest, 'Conditions met for only 1 cycle...'). Ausfuehrung zu bestaetigen.</t>
  </si>
  <si>
    <t>Automatisierung: Rücksetzung auf last_known_setpoint wenn Überschuss endet</t>
  </si>
  <si>
    <t>Ruecksetzungslogik abgedeckt durch EnergyManagerServiceTest (Bestandstest). Ausfuehrung zu bestaetigen.</t>
  </si>
  <si>
    <t>last_known_setpoint: Terminal-Wert (z.B. 49°C) wird korrekt zurückgesetzt</t>
  </si>
  <si>
    <t>US-02-04</t>
  </si>
  <si>
    <t>Fallback auf konfigurierten Normalwert abgedeckt durch EnergyManagerServiceTest (Bestandstest). Ausfuehrung zu bestaetigen.</t>
  </si>
  <si>
    <t>Neustart-Sicherheit: enerflow_active=true → last_known_setpoint aus DB</t>
  </si>
  <si>
    <t>Neustart-Persistenz aus enerflow_state (DB) nicht automatisiert getestet.</t>
  </si>
  <si>
    <t>Toggle: EnerFlow deaktivieren stoppt SET-Befehle, Polling läuft weiter</t>
  </si>
  <si>
    <t>Toggle-Logik unit-/web-slice-getestet (EnerflowStateControllerTest, heute verifiziert). Fortlaufen des Pollings bei deaktiviertem Zustand nicht separat verifiziert.</t>
  </si>
  <si>
    <t>Warnung im Dashboard bei unerwartetem WP-Istwert beim Start</t>
  </si>
  <si>
    <t>Kein automatisierter Test vorhanden.</t>
  </si>
  <si>
    <t>Sicherheitsgrenzwerte: Max-Temperatur 60°C wird nicht überschritten</t>
  </si>
  <si>
    <t>US-02-03</t>
  </si>
  <si>
    <t>Minimalwert-Validierung unit-getestet (MyUplinkRestAdapterTest, Bestandstest). Expliziter Test fuer 60°C-Maximalwert nicht vorhanden.</t>
  </si>
  <si>
    <t>Zeitfenster Netzeinspeise-Sperre: Schwellwert sinkt auf 70%</t>
  </si>
  <si>
    <t>US-02-02</t>
  </si>
  <si>
    <t>Feature/Test nicht vorhanden bzw. Umfang unklar.</t>
  </si>
  <si>
    <t>Dashboard-Refresh alle 10s ohne Seiten-Reload</t>
  </si>
  <si>
    <t>US-01-01</t>
  </si>
  <si>
    <t>Frontend-Polling (10s) nicht durch JUnit testbar, manuell zu verifizieren.</t>
  </si>
  <si>
    <t>Dashboard zeigt Warmwasser-Ist + Soll korrekt an</t>
  </si>
  <si>
    <t>DashboardService-Mapping unit-getestet (DashboardServiceTest, heute verifiziert). Visuelle Darstellung im Browser weiterhin manuell zu pruefen.</t>
  </si>
  <si>
    <t>Energiefluss-Animation zeigt aktive Flüsse korrekt</t>
  </si>
  <si>
    <t>US-01-02</t>
  </si>
  <si>
    <t>CSS-/SVG-Animation nicht durch JUnit testbar, manuell zu verifizieren.</t>
  </si>
  <si>
    <t>Strompreis konfigurieren → Einsparungsanzeige aktualisiert sich</t>
  </si>
  <si>
    <t>US-01-04</t>
  </si>
  <si>
    <t>Preis-Update + Audit-Log unit-/web-slice-getestet (ElectricityPriceControllerTest, DashboardServiceTest, heute verifiziert). Live-Aktualisierung im Browser weiterhin manuell zu pruefen.</t>
  </si>
  <si>
    <t>Einsparungsberechnung kWh und Euro korrekt (physikalische Formel)</t>
  </si>
  <si>
    <t>US-01-03</t>
  </si>
  <si>
    <t>Berechnungslogik unit-getestet (DashboardServiceTest, HotWaterEnergyCalculatorTest). Physikalische Formel im Produktivbetrieb noch nicht gegenkontrolliert.</t>
  </si>
  <si>
    <t>Messdaten alle 60s in DB gespeichert (heatpump + battery snapshot)</t>
  </si>
  <si>
    <t>US-05-01</t>
  </si>
  <si>
    <t>Scheduler-Timing (60s-Intervall) nicht automatisiert getestet.</t>
  </si>
  <si>
    <t>Audit-Log: jede Steueraktion unveränderlich protokolliert</t>
  </si>
  <si>
    <t>Schreiblogik unit-/web-slice-getestet (ElectricityPriceControllerTest, EnergyManagerServiceTest). Unveraenderlichkeit (kein Update/Delete) nicht explizit getestet.</t>
  </si>
  <si>
    <t>Docker-Container startet fehlerfrei, DB-Verbindung hergestellt</t>
  </si>
  <si>
    <t>Vollstaendiger Docker-Compose-Start (App + PostgreSQL) erfolgreich verifiziert inkl. Login und Dashboard-Zugriff im Browser (AP5.1).</t>
  </si>
  <si>
    <t>Docker restart policy: Container startet nach Stromausfall neu</t>
  </si>
  <si>
    <t>restart: always in docker-compose.yml konfiguriert und verifiziert. Tatsaechlicher Stromausfall-/Crash-Simulationstest nicht durchgefuehrt.</t>
  </si>
  <si>
    <t>Hinweise zu dieser Datei</t>
  </si>
  <si>
    <t>Felder für IST-Daten (Ende IST, Differenz, Status, Bemerkungen) sind manuell zu pflegen.</t>
  </si>
  <si>
    <t>Meilensteine (MS) sind blau hinterlegt. Sprints (SP) sind gelb hinterlegt.</t>
  </si>
  <si>
    <t>Neue Zeilen über die Einfügen-Funktion hinzufügen um Formatierungen zu übernehmen.</t>
  </si>
  <si>
    <t>Testprotokolle: Status-Feld nach jedem Testlauf manuell auf 'Ok' oder 'Fehler' setzen.</t>
  </si>
  <si>
    <t>Alle Datumsangaben basieren auf dem Projektstart 18.05.2026 (Arbeitstage, ohne Wochenenden).</t>
  </si>
  <si>
    <t>KI-Unterstützung</t>
  </si>
  <si>
    <t>Dieses Projekt wurde unter aktiver Nutzung von Claude Sonnet 4.6 (Anthropic) entwickelt. Claude wurde eingesetzt für: Projektdokumentation (Pflichtenheft, User Stories, PSP), Architekturentscheidungen, Code-Reviews und Implementierungsunterstützung. Alle fachlichen Entscheidungen, das Systemdesign und die finale Verantwortung liegen beim Entwickler (Athanasios Diamantis).</t>
  </si>
  <si>
    <t>Sprint-Datum neu geplant</t>
  </si>
  <si>
    <t>72 automatisierte Test und 8 Integrationstests mit "mvn test -DexcludedGroups=" starten.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</si>
</sst>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d\.mm\.yyyy"/>
    <numFmt numFmtId="166" formatCode="yyyy\-mm\-dd\ h:mm:ss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1A5276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1E8449"/>
      <name val="Arial"/>
      <family val="2"/>
    </font>
    <font>
      <b/>
      <sz val="10"/>
      <color rgb="FFC0392B"/>
      <name val="Arial"/>
      <family val="2"/>
    </font>
    <font>
      <b/>
      <sz val="11"/>
      <color theme="1"/>
      <name val="Calibri"/>
      <family val="2"/>
      <charset val="1"/>
    </font>
    <font>
      <sz val="18"/>
      <color rgb="FF0070C0"/>
      <name val="Calibri"/>
      <family val="2"/>
      <charset val="1"/>
    </font>
    <font>
      <b/>
      <sz val="18"/>
      <color rgb="FF0070C0"/>
      <name val="Calibri"/>
      <family val="2"/>
      <charset val="1"/>
    </font>
    <font>
      <b/>
      <sz val="11"/>
      <color rgb="FFFFFFFF"/>
      <name val="Arial"/>
      <family val="2"/>
    </font>
    <font>
      <i/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0"/>
      <name val="Arial"/>
      <family val="2"/>
      <charset val="1"/>
    </font>
    <font>
      <b/>
      <sz val="11"/>
      <color rgb="FF1F4E79"/>
      <name val="Cambria"/>
      <family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charset val="1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1A5276"/>
        <bgColor rgb="FF1F4E79"/>
      </patternFill>
    </fill>
    <fill>
      <patternFill patternType="solid">
        <fgColor rgb="FF2E86C1"/>
        <bgColor rgb="FF0070C0"/>
      </patternFill>
    </fill>
    <fill>
      <patternFill patternType="solid">
        <fgColor rgb="FFF2F3F4"/>
        <bgColor rgb="FFF2F2F2"/>
      </patternFill>
    </fill>
    <fill>
      <patternFill patternType="solid">
        <fgColor rgb="FFD6EAF8"/>
        <bgColor rgb="FFF2F2F2"/>
      </patternFill>
    </fill>
    <fill>
      <patternFill patternType="solid">
        <fgColor rgb="FFF9E79F"/>
        <bgColor rgb="FFFFCC99"/>
      </patternFill>
    </fill>
    <fill>
      <patternFill patternType="solid">
        <fgColor rgb="FFFFFFFF"/>
        <bgColor rgb="FFF5F9E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F5F9EF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rgb="FFFFCC99"/>
      </patternFill>
    </fill>
    <fill>
      <patternFill patternType="solid">
        <fgColor theme="6" tint="0.79998168889431442"/>
        <bgColor rgb="FFF5F9EF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5F9EF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rgb="FFF5F9EF"/>
      </patternFill>
    </fill>
    <fill>
      <patternFill patternType="solid">
        <fgColor theme="2" tint="-9.9978637043366805E-2"/>
        <bgColor rgb="FFFFCC99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rgb="FFF5F9E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</borders>
  <cellStyleXfs count="1">
    <xf numFmtId="0" fontId="0" fillId="0" borderId="0"/>
  </cellStyleXfs>
  <cellXfs count="28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165" fontId="5" fillId="7" borderId="1" xfId="0" applyNumberFormat="1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 wrapText="1"/>
    </xf>
    <xf numFmtId="49" fontId="5" fillId="7" borderId="1" xfId="0" applyNumberFormat="1" applyFont="1" applyFill="1" applyBorder="1" applyAlignment="1">
      <alignment vertical="center" wrapText="1"/>
    </xf>
    <xf numFmtId="49" fontId="7" fillId="5" borderId="1" xfId="0" applyNumberFormat="1" applyFont="1" applyFill="1" applyBorder="1" applyAlignment="1">
      <alignment vertical="center" wrapText="1"/>
    </xf>
    <xf numFmtId="165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49" fontId="0" fillId="0" borderId="0" xfId="0" applyNumberFormat="1" applyAlignment="1">
      <alignment vertical="top"/>
    </xf>
    <xf numFmtId="0" fontId="12" fillId="0" borderId="0" xfId="0" applyFont="1" applyAlignment="1">
      <alignment horizontal="left" vertical="top"/>
    </xf>
    <xf numFmtId="49" fontId="13" fillId="0" borderId="0" xfId="0" applyNumberFormat="1" applyFont="1" applyAlignment="1">
      <alignment vertical="top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12" fillId="0" borderId="0" xfId="0" applyFont="1" applyAlignment="1">
      <alignment vertical="top" wrapText="1"/>
    </xf>
    <xf numFmtId="49" fontId="0" fillId="0" borderId="0" xfId="0" applyNumberFormat="1"/>
    <xf numFmtId="164" fontId="5" fillId="7" borderId="1" xfId="0" applyNumberFormat="1" applyFont="1" applyFill="1" applyBorder="1" applyAlignment="1">
      <alignment vertical="center" wrapText="1"/>
    </xf>
    <xf numFmtId="49" fontId="12" fillId="0" borderId="0" xfId="0" applyNumberFormat="1" applyFont="1" applyAlignment="1">
      <alignment horizontal="left" vertical="top"/>
    </xf>
    <xf numFmtId="0" fontId="13" fillId="0" borderId="0" xfId="0" applyFont="1" applyAlignment="1">
      <alignment vertical="top"/>
    </xf>
    <xf numFmtId="164" fontId="0" fillId="0" borderId="0" xfId="0" applyNumberFormat="1"/>
    <xf numFmtId="0" fontId="0" fillId="0" borderId="0" xfId="0" applyAlignment="1">
      <alignment horizontal="right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horizontal="right" vertical="top"/>
    </xf>
    <xf numFmtId="164" fontId="16" fillId="0" borderId="0" xfId="0" applyNumberFormat="1" applyFont="1" applyAlignment="1">
      <alignment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vertical="top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vertical="center" wrapText="1"/>
    </xf>
    <xf numFmtId="1" fontId="5" fillId="4" borderId="1" xfId="0" applyNumberFormat="1" applyFont="1" applyFill="1" applyBorder="1" applyAlignment="1">
      <alignment vertical="center" wrapText="1"/>
    </xf>
    <xf numFmtId="1" fontId="5" fillId="7" borderId="1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14" fillId="0" borderId="0" xfId="0" applyNumberFormat="1" applyFont="1" applyAlignment="1">
      <alignment horizontal="center" vertical="top" wrapText="1"/>
    </xf>
    <xf numFmtId="49" fontId="11" fillId="4" borderId="1" xfId="0" applyNumberFormat="1" applyFont="1" applyFill="1" applyBorder="1" applyAlignment="1">
      <alignment vertical="center" wrapText="1"/>
    </xf>
    <xf numFmtId="49" fontId="11" fillId="7" borderId="1" xfId="0" applyNumberFormat="1" applyFont="1" applyFill="1" applyBorder="1" applyAlignment="1">
      <alignment vertical="center" wrapText="1"/>
    </xf>
    <xf numFmtId="49" fontId="12" fillId="0" borderId="0" xfId="0" applyNumberFormat="1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49" fontId="12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vertical="top" wrapText="1"/>
    </xf>
    <xf numFmtId="0" fontId="18" fillId="0" borderId="0" xfId="0" applyFont="1"/>
    <xf numFmtId="0" fontId="19" fillId="0" borderId="0" xfId="0" applyFont="1"/>
    <xf numFmtId="0" fontId="3" fillId="7" borderId="1" xfId="0" applyFont="1" applyFill="1" applyBorder="1" applyAlignment="1">
      <alignment vertical="center" wrapText="1"/>
    </xf>
    <xf numFmtId="0" fontId="15" fillId="2" borderId="0" xfId="0" applyFont="1" applyFill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6" fontId="6" fillId="2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vertical="center" wrapText="1"/>
    </xf>
    <xf numFmtId="14" fontId="0" fillId="0" borderId="0" xfId="0" applyNumberFormat="1"/>
    <xf numFmtId="0" fontId="22" fillId="4" borderId="1" xfId="0" applyFont="1" applyFill="1" applyBorder="1" applyAlignment="1">
      <alignment vertical="center" wrapText="1"/>
    </xf>
    <xf numFmtId="0" fontId="22" fillId="7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14" fontId="7" fillId="5" borderId="1" xfId="0" applyNumberFormat="1" applyFont="1" applyFill="1" applyBorder="1" applyAlignment="1">
      <alignment vertical="center" wrapText="1"/>
    </xf>
    <xf numFmtId="0" fontId="25" fillId="8" borderId="0" xfId="0" applyFont="1" applyFill="1"/>
    <xf numFmtId="49" fontId="4" fillId="6" borderId="4" xfId="0" applyNumberFormat="1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14" fontId="4" fillId="6" borderId="4" xfId="0" applyNumberFormat="1" applyFont="1" applyFill="1" applyBorder="1" applyAlignment="1">
      <alignment vertical="center" wrapText="1"/>
    </xf>
    <xf numFmtId="0" fontId="22" fillId="6" borderId="4" xfId="0" applyFont="1" applyFill="1" applyBorder="1" applyAlignment="1">
      <alignment vertical="center" wrapText="1"/>
    </xf>
    <xf numFmtId="0" fontId="0" fillId="8" borderId="0" xfId="0" applyFill="1"/>
    <xf numFmtId="0" fontId="24" fillId="8" borderId="11" xfId="0" applyFont="1" applyFill="1" applyBorder="1" applyAlignment="1">
      <alignment wrapText="1"/>
    </xf>
    <xf numFmtId="0" fontId="7" fillId="5" borderId="10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5" fillId="7" borderId="13" xfId="0" applyFont="1" applyFill="1" applyBorder="1" applyAlignment="1">
      <alignment vertical="center" wrapText="1"/>
    </xf>
    <xf numFmtId="49" fontId="5" fillId="7" borderId="7" xfId="0" applyNumberFormat="1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14" xfId="0" applyFont="1" applyFill="1" applyBorder="1" applyAlignment="1">
      <alignment vertical="center" wrapText="1"/>
    </xf>
    <xf numFmtId="49" fontId="5" fillId="7" borderId="13" xfId="0" applyNumberFormat="1" applyFont="1" applyFill="1" applyBorder="1" applyAlignment="1">
      <alignment vertical="center" wrapText="1"/>
    </xf>
    <xf numFmtId="0" fontId="26" fillId="0" borderId="0" xfId="0" applyFont="1" applyAlignment="1">
      <alignment wrapText="1"/>
    </xf>
    <xf numFmtId="0" fontId="5" fillId="9" borderId="7" xfId="0" applyFont="1" applyFill="1" applyBorder="1" applyAlignment="1">
      <alignment vertical="center" wrapText="1"/>
    </xf>
    <xf numFmtId="0" fontId="5" fillId="9" borderId="8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0" borderId="10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10" xfId="0" applyFont="1" applyFill="1" applyBorder="1" applyAlignment="1">
      <alignment vertical="center" wrapText="1"/>
    </xf>
    <xf numFmtId="0" fontId="5" fillId="9" borderId="13" xfId="0" applyFont="1" applyFill="1" applyBorder="1" applyAlignment="1">
      <alignment vertical="center" wrapText="1"/>
    </xf>
    <xf numFmtId="0" fontId="5" fillId="9" borderId="14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5" fillId="12" borderId="7" xfId="0" applyFont="1" applyFill="1" applyBorder="1" applyAlignment="1">
      <alignment vertical="center" wrapText="1"/>
    </xf>
    <xf numFmtId="0" fontId="5" fillId="12" borderId="8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49" fontId="4" fillId="14" borderId="1" xfId="0" applyNumberFormat="1" applyFont="1" applyFill="1" applyBorder="1" applyAlignment="1">
      <alignment vertical="center" wrapText="1"/>
    </xf>
    <xf numFmtId="0" fontId="4" fillId="14" borderId="10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49" fontId="5" fillId="10" borderId="7" xfId="0" applyNumberFormat="1" applyFont="1" applyFill="1" applyBorder="1" applyAlignment="1">
      <alignment vertical="center" wrapText="1"/>
    </xf>
    <xf numFmtId="0" fontId="5" fillId="10" borderId="7" xfId="0" applyFont="1" applyFill="1" applyBorder="1" applyAlignment="1">
      <alignment vertical="center" wrapText="1"/>
    </xf>
    <xf numFmtId="14" fontId="5" fillId="10" borderId="7" xfId="0" applyNumberFormat="1" applyFont="1" applyFill="1" applyBorder="1" applyAlignment="1">
      <alignment vertical="center" wrapText="1"/>
    </xf>
    <xf numFmtId="164" fontId="22" fillId="10" borderId="7" xfId="0" applyNumberFormat="1" applyFont="1" applyFill="1" applyBorder="1" applyAlignment="1">
      <alignment vertical="center" wrapText="1"/>
    </xf>
    <xf numFmtId="0" fontId="5" fillId="10" borderId="8" xfId="0" applyFont="1" applyFill="1" applyBorder="1" applyAlignment="1">
      <alignment vertical="center" wrapText="1"/>
    </xf>
    <xf numFmtId="14" fontId="5" fillId="9" borderId="1" xfId="0" applyNumberFormat="1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vertical="center" wrapText="1"/>
    </xf>
    <xf numFmtId="0" fontId="0" fillId="15" borderId="0" xfId="0" applyFill="1"/>
    <xf numFmtId="0" fontId="22" fillId="10" borderId="1" xfId="0" applyFont="1" applyFill="1" applyBorder="1" applyAlignment="1">
      <alignment vertical="center" wrapText="1"/>
    </xf>
    <xf numFmtId="49" fontId="4" fillId="11" borderId="1" xfId="0" applyNumberFormat="1" applyFont="1" applyFill="1" applyBorder="1" applyAlignment="1">
      <alignment vertical="center" wrapText="1"/>
    </xf>
    <xf numFmtId="14" fontId="4" fillId="11" borderId="1" xfId="0" applyNumberFormat="1" applyFont="1" applyFill="1" applyBorder="1" applyAlignment="1">
      <alignment vertical="center" wrapText="1"/>
    </xf>
    <xf numFmtId="0" fontId="22" fillId="11" borderId="1" xfId="0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14" fontId="23" fillId="0" borderId="13" xfId="0" applyNumberFormat="1" applyFont="1" applyBorder="1" applyAlignment="1">
      <alignment vertical="center" wrapText="1"/>
    </xf>
    <xf numFmtId="14" fontId="5" fillId="0" borderId="13" xfId="0" applyNumberFormat="1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49" fontId="5" fillId="12" borderId="7" xfId="0" applyNumberFormat="1" applyFont="1" applyFill="1" applyBorder="1" applyAlignment="1">
      <alignment vertical="center" wrapText="1"/>
    </xf>
    <xf numFmtId="14" fontId="5" fillId="12" borderId="7" xfId="0" applyNumberFormat="1" applyFont="1" applyFill="1" applyBorder="1" applyAlignment="1">
      <alignment vertical="center" wrapText="1"/>
    </xf>
    <xf numFmtId="14" fontId="5" fillId="13" borderId="7" xfId="0" applyNumberFormat="1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14" fontId="4" fillId="14" borderId="1" xfId="0" applyNumberFormat="1" applyFont="1" applyFill="1" applyBorder="1" applyAlignment="1">
      <alignment vertical="center" wrapText="1"/>
    </xf>
    <xf numFmtId="14" fontId="20" fillId="4" borderId="1" xfId="0" applyNumberFormat="1" applyFont="1" applyFill="1" applyBorder="1" applyAlignment="1">
      <alignment vertical="center" wrapText="1"/>
    </xf>
    <xf numFmtId="0" fontId="22" fillId="12" borderId="7" xfId="0" applyFont="1" applyFill="1" applyBorder="1" applyAlignment="1">
      <alignment vertical="center" wrapText="1"/>
    </xf>
    <xf numFmtId="0" fontId="22" fillId="14" borderId="1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49" fontId="5" fillId="16" borderId="7" xfId="0" applyNumberFormat="1" applyFont="1" applyFill="1" applyBorder="1" applyAlignment="1">
      <alignment vertical="center" wrapText="1"/>
    </xf>
    <xf numFmtId="0" fontId="5" fillId="16" borderId="7" xfId="0" applyFont="1" applyFill="1" applyBorder="1" applyAlignment="1">
      <alignment vertical="center" wrapText="1"/>
    </xf>
    <xf numFmtId="14" fontId="5" fillId="16" borderId="7" xfId="0" applyNumberFormat="1" applyFont="1" applyFill="1" applyBorder="1" applyAlignment="1">
      <alignment vertical="center" wrapText="1"/>
    </xf>
    <xf numFmtId="0" fontId="5" fillId="16" borderId="8" xfId="0" applyFont="1" applyFill="1" applyBorder="1" applyAlignment="1">
      <alignment vertical="center" wrapText="1"/>
    </xf>
    <xf numFmtId="49" fontId="7" fillId="17" borderId="1" xfId="0" applyNumberFormat="1" applyFont="1" applyFill="1" applyBorder="1" applyAlignment="1">
      <alignment vertical="center" wrapText="1"/>
    </xf>
    <xf numFmtId="0" fontId="7" fillId="17" borderId="1" xfId="0" applyFont="1" applyFill="1" applyBorder="1" applyAlignment="1">
      <alignment vertical="center" wrapText="1"/>
    </xf>
    <xf numFmtId="14" fontId="7" fillId="17" borderId="1" xfId="0" applyNumberFormat="1" applyFont="1" applyFill="1" applyBorder="1" applyAlignment="1">
      <alignment vertical="center" wrapText="1"/>
    </xf>
    <xf numFmtId="0" fontId="7" fillId="17" borderId="10" xfId="0" applyFont="1" applyFill="1" applyBorder="1" applyAlignment="1">
      <alignment vertical="center" wrapText="1"/>
    </xf>
    <xf numFmtId="49" fontId="5" fillId="16" borderId="13" xfId="0" applyNumberFormat="1" applyFont="1" applyFill="1" applyBorder="1" applyAlignment="1">
      <alignment vertical="center" wrapText="1"/>
    </xf>
    <xf numFmtId="0" fontId="5" fillId="16" borderId="13" xfId="0" applyFont="1" applyFill="1" applyBorder="1" applyAlignment="1">
      <alignment vertical="center" wrapText="1"/>
    </xf>
    <xf numFmtId="14" fontId="5" fillId="16" borderId="13" xfId="0" applyNumberFormat="1" applyFont="1" applyFill="1" applyBorder="1" applyAlignment="1">
      <alignment vertical="center" wrapText="1"/>
    </xf>
    <xf numFmtId="0" fontId="5" fillId="16" borderId="14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49" fontId="5" fillId="18" borderId="7" xfId="0" applyNumberFormat="1" applyFont="1" applyFill="1" applyBorder="1" applyAlignment="1">
      <alignment vertical="center" wrapText="1"/>
    </xf>
    <xf numFmtId="0" fontId="5" fillId="18" borderId="7" xfId="0" applyFont="1" applyFill="1" applyBorder="1" applyAlignment="1">
      <alignment vertical="center" wrapText="1"/>
    </xf>
    <xf numFmtId="14" fontId="5" fillId="18" borderId="7" xfId="0" applyNumberFormat="1" applyFont="1" applyFill="1" applyBorder="1" applyAlignment="1">
      <alignment vertical="center" wrapText="1"/>
    </xf>
    <xf numFmtId="0" fontId="5" fillId="18" borderId="8" xfId="0" applyFont="1" applyFill="1" applyBorder="1" applyAlignment="1">
      <alignment vertical="center" wrapText="1"/>
    </xf>
    <xf numFmtId="49" fontId="4" fillId="20" borderId="1" xfId="0" applyNumberFormat="1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14" fontId="4" fillId="20" borderId="1" xfId="0" applyNumberFormat="1" applyFont="1" applyFill="1" applyBorder="1" applyAlignment="1">
      <alignment vertical="center" wrapText="1"/>
    </xf>
    <xf numFmtId="0" fontId="4" fillId="20" borderId="10" xfId="0" applyFont="1" applyFill="1" applyBorder="1" applyAlignment="1">
      <alignment vertical="center" wrapText="1"/>
    </xf>
    <xf numFmtId="49" fontId="5" fillId="21" borderId="7" xfId="0" applyNumberFormat="1" applyFont="1" applyFill="1" applyBorder="1" applyAlignment="1">
      <alignment vertical="center" wrapText="1"/>
    </xf>
    <xf numFmtId="0" fontId="5" fillId="21" borderId="7" xfId="0" applyFont="1" applyFill="1" applyBorder="1" applyAlignment="1">
      <alignment vertical="center" wrapText="1"/>
    </xf>
    <xf numFmtId="14" fontId="5" fillId="21" borderId="7" xfId="0" applyNumberFormat="1" applyFont="1" applyFill="1" applyBorder="1" applyAlignment="1">
      <alignment vertical="center" wrapText="1"/>
    </xf>
    <xf numFmtId="0" fontId="5" fillId="22" borderId="7" xfId="0" applyFont="1" applyFill="1" applyBorder="1" applyAlignment="1">
      <alignment vertical="center" wrapText="1"/>
    </xf>
    <xf numFmtId="0" fontId="5" fillId="21" borderId="8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center" wrapText="1"/>
    </xf>
    <xf numFmtId="49" fontId="5" fillId="21" borderId="1" xfId="0" applyNumberFormat="1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14" fontId="5" fillId="21" borderId="1" xfId="0" applyNumberFormat="1" applyFont="1" applyFill="1" applyBorder="1" applyAlignment="1">
      <alignment vertical="center" wrapText="1"/>
    </xf>
    <xf numFmtId="0" fontId="7" fillId="13" borderId="16" xfId="0" applyFont="1" applyFill="1" applyBorder="1" applyAlignment="1">
      <alignment vertical="center" wrapText="1"/>
    </xf>
    <xf numFmtId="14" fontId="7" fillId="13" borderId="16" xfId="0" applyNumberFormat="1" applyFont="1" applyFill="1" applyBorder="1" applyAlignment="1">
      <alignment vertical="center" wrapText="1"/>
    </xf>
    <xf numFmtId="0" fontId="5" fillId="12" borderId="16" xfId="0" applyFont="1" applyFill="1" applyBorder="1" applyAlignment="1">
      <alignment vertical="center" wrapText="1"/>
    </xf>
    <xf numFmtId="0" fontId="7" fillId="13" borderId="15" xfId="0" applyFont="1" applyFill="1" applyBorder="1" applyAlignment="1">
      <alignment vertical="center" wrapText="1"/>
    </xf>
    <xf numFmtId="14" fontId="7" fillId="13" borderId="15" xfId="0" applyNumberFormat="1" applyFont="1" applyFill="1" applyBorder="1" applyAlignment="1">
      <alignment vertical="center" wrapText="1"/>
    </xf>
    <xf numFmtId="0" fontId="5" fillId="12" borderId="15" xfId="0" applyFont="1" applyFill="1" applyBorder="1" applyAlignment="1">
      <alignment vertical="center" wrapText="1"/>
    </xf>
    <xf numFmtId="49" fontId="0" fillId="23" borderId="15" xfId="0" applyNumberFormat="1" applyFill="1" applyBorder="1" applyAlignment="1">
      <alignment vertical="top"/>
    </xf>
    <xf numFmtId="0" fontId="0" fillId="23" borderId="15" xfId="0" applyFill="1" applyBorder="1"/>
    <xf numFmtId="14" fontId="0" fillId="23" borderId="15" xfId="0" applyNumberFormat="1" applyFill="1" applyBorder="1"/>
    <xf numFmtId="0" fontId="0" fillId="23" borderId="15" xfId="0" applyFill="1" applyBorder="1" applyAlignment="1">
      <alignment wrapText="1"/>
    </xf>
    <xf numFmtId="1" fontId="5" fillId="4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1" fontId="4" fillId="6" borderId="4" xfId="0" applyNumberFormat="1" applyFont="1" applyFill="1" applyBorder="1" applyAlignment="1">
      <alignment horizontal="center" vertical="center" wrapText="1"/>
    </xf>
    <xf numFmtId="1" fontId="5" fillId="10" borderId="6" xfId="0" applyNumberFormat="1" applyFont="1" applyFill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" fontId="4" fillId="11" borderId="9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12" borderId="6" xfId="0" applyNumberFormat="1" applyFont="1" applyFill="1" applyBorder="1" applyAlignment="1">
      <alignment horizontal="center" vertical="center" wrapText="1"/>
    </xf>
    <xf numFmtId="1" fontId="4" fillId="14" borderId="9" xfId="0" applyNumberFormat="1" applyFont="1" applyFill="1" applyBorder="1" applyAlignment="1">
      <alignment horizontal="center" vertical="center" wrapText="1"/>
    </xf>
    <xf numFmtId="1" fontId="5" fillId="16" borderId="6" xfId="0" applyNumberFormat="1" applyFont="1" applyFill="1" applyBorder="1" applyAlignment="1">
      <alignment horizontal="center" vertical="center" wrapText="1"/>
    </xf>
    <xf numFmtId="1" fontId="7" fillId="17" borderId="9" xfId="0" applyNumberFormat="1" applyFont="1" applyFill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5" fillId="16" borderId="12" xfId="0" applyNumberFormat="1" applyFont="1" applyFill="1" applyBorder="1" applyAlignment="1">
      <alignment horizontal="center" vertical="center" wrapText="1"/>
    </xf>
    <xf numFmtId="1" fontId="5" fillId="18" borderId="6" xfId="0" applyNumberFormat="1" applyFont="1" applyFill="1" applyBorder="1" applyAlignment="1">
      <alignment horizontal="center" vertical="center" wrapText="1"/>
    </xf>
    <xf numFmtId="1" fontId="4" fillId="20" borderId="9" xfId="0" applyNumberFormat="1" applyFont="1" applyFill="1" applyBorder="1" applyAlignment="1">
      <alignment horizontal="center" vertical="center" wrapText="1"/>
    </xf>
    <xf numFmtId="1" fontId="5" fillId="21" borderId="6" xfId="0" applyNumberFormat="1" applyFont="1" applyFill="1" applyBorder="1" applyAlignment="1">
      <alignment horizontal="center" vertical="center" wrapText="1"/>
    </xf>
    <xf numFmtId="1" fontId="5" fillId="21" borderId="9" xfId="0" applyNumberFormat="1" applyFont="1" applyFill="1" applyBorder="1" applyAlignment="1">
      <alignment horizontal="center" vertical="center" wrapText="1"/>
    </xf>
    <xf numFmtId="1" fontId="7" fillId="13" borderId="16" xfId="0" applyNumberFormat="1" applyFont="1" applyFill="1" applyBorder="1" applyAlignment="1">
      <alignment horizontal="center" vertical="center" wrapText="1"/>
    </xf>
    <xf numFmtId="1" fontId="7" fillId="13" borderId="15" xfId="0" applyNumberFormat="1" applyFont="1" applyFill="1" applyBorder="1" applyAlignment="1">
      <alignment horizontal="center" vertical="center" wrapText="1"/>
    </xf>
    <xf numFmtId="1" fontId="0" fillId="23" borderId="15" xfId="0" applyNumberFormat="1" applyFill="1" applyBorder="1" applyAlignment="1">
      <alignment horizontal="center" vertical="top"/>
    </xf>
    <xf numFmtId="0" fontId="5" fillId="4" borderId="4" xfId="0" applyFont="1" applyFill="1" applyBorder="1" applyAlignment="1">
      <alignment vertical="center" wrapText="1"/>
    </xf>
    <xf numFmtId="0" fontId="5" fillId="4" borderId="18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vertical="center" wrapText="1"/>
    </xf>
    <xf numFmtId="0" fontId="0" fillId="0" borderId="15" xfId="0" applyBorder="1" applyAlignment="1">
      <alignment horizontal="left"/>
    </xf>
    <xf numFmtId="0" fontId="0" fillId="0" borderId="15" xfId="0" applyBorder="1"/>
    <xf numFmtId="1" fontId="5" fillId="9" borderId="6" xfId="0" applyNumberFormat="1" applyFont="1" applyFill="1" applyBorder="1" applyAlignment="1">
      <alignment horizontal="center" vertical="center" wrapText="1"/>
    </xf>
    <xf numFmtId="1" fontId="7" fillId="10" borderId="9" xfId="0" applyNumberFormat="1" applyFont="1" applyFill="1" applyBorder="1" applyAlignment="1">
      <alignment horizontal="center" vertical="center" wrapText="1"/>
    </xf>
    <xf numFmtId="1" fontId="5" fillId="9" borderId="12" xfId="0" applyNumberFormat="1" applyFont="1" applyFill="1" applyBorder="1" applyAlignment="1">
      <alignment horizontal="center" vertical="center" wrapText="1"/>
    </xf>
    <xf numFmtId="1" fontId="5" fillId="7" borderId="6" xfId="0" applyNumberFormat="1" applyFont="1" applyFill="1" applyBorder="1" applyAlignment="1">
      <alignment horizontal="center" vertical="center" wrapText="1"/>
    </xf>
    <xf numFmtId="1" fontId="5" fillId="7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 wrapText="1"/>
    </xf>
    <xf numFmtId="1" fontId="5" fillId="7" borderId="12" xfId="0" applyNumberFormat="1" applyFont="1" applyFill="1" applyBorder="1" applyAlignment="1">
      <alignment horizontal="center" vertical="center" wrapText="1"/>
    </xf>
    <xf numFmtId="1" fontId="5" fillId="4" borderId="9" xfId="0" applyNumberFormat="1" applyFont="1" applyFill="1" applyBorder="1" applyAlignment="1">
      <alignment horizontal="center" vertical="center" wrapText="1"/>
    </xf>
    <xf numFmtId="1" fontId="5" fillId="4" borderId="17" xfId="0" applyNumberFormat="1" applyFont="1" applyFill="1" applyBorder="1" applyAlignment="1">
      <alignment horizontal="center" vertical="center" wrapText="1"/>
    </xf>
    <xf numFmtId="1" fontId="7" fillId="5" borderId="15" xfId="0" applyNumberFormat="1" applyFont="1" applyFill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6" borderId="19" xfId="0" applyFont="1" applyFill="1" applyBorder="1" applyAlignment="1">
      <alignment vertical="center" wrapText="1"/>
    </xf>
    <xf numFmtId="0" fontId="4" fillId="6" borderId="20" xfId="0" applyFont="1" applyFill="1" applyBorder="1" applyAlignment="1">
      <alignment vertical="center" wrapText="1"/>
    </xf>
    <xf numFmtId="14" fontId="5" fillId="9" borderId="7" xfId="0" applyNumberFormat="1" applyFont="1" applyFill="1" applyBorder="1" applyAlignment="1">
      <alignment vertical="center" wrapText="1"/>
    </xf>
    <xf numFmtId="14" fontId="7" fillId="10" borderId="1" xfId="0" applyNumberFormat="1" applyFont="1" applyFill="1" applyBorder="1" applyAlignment="1">
      <alignment vertical="center" wrapText="1"/>
    </xf>
    <xf numFmtId="14" fontId="5" fillId="9" borderId="13" xfId="0" applyNumberFormat="1" applyFont="1" applyFill="1" applyBorder="1" applyAlignment="1">
      <alignment vertical="center" wrapText="1"/>
    </xf>
    <xf numFmtId="14" fontId="5" fillId="7" borderId="7" xfId="0" applyNumberFormat="1" applyFont="1" applyFill="1" applyBorder="1" applyAlignment="1">
      <alignment vertical="center" wrapText="1"/>
    </xf>
    <xf numFmtId="14" fontId="7" fillId="5" borderId="4" xfId="0" applyNumberFormat="1" applyFont="1" applyFill="1" applyBorder="1" applyAlignment="1">
      <alignment vertical="center" wrapText="1"/>
    </xf>
    <xf numFmtId="14" fontId="4" fillId="6" borderId="15" xfId="0" applyNumberFormat="1" applyFont="1" applyFill="1" applyBorder="1" applyAlignment="1">
      <alignment vertical="center" wrapText="1"/>
    </xf>
    <xf numFmtId="14" fontId="5" fillId="7" borderId="5" xfId="0" applyNumberFormat="1" applyFont="1" applyFill="1" applyBorder="1" applyAlignment="1">
      <alignment vertical="center" wrapText="1"/>
    </xf>
    <xf numFmtId="14" fontId="4" fillId="6" borderId="1" xfId="0" applyNumberFormat="1" applyFont="1" applyFill="1" applyBorder="1" applyAlignment="1">
      <alignment vertical="center" wrapText="1"/>
    </xf>
    <xf numFmtId="14" fontId="5" fillId="7" borderId="13" xfId="0" applyNumberFormat="1" applyFont="1" applyFill="1" applyBorder="1" applyAlignment="1">
      <alignment vertical="center" wrapText="1"/>
    </xf>
    <xf numFmtId="14" fontId="5" fillId="4" borderId="4" xfId="0" applyNumberFormat="1" applyFont="1" applyFill="1" applyBorder="1" applyAlignment="1">
      <alignment vertical="center" wrapText="1"/>
    </xf>
    <xf numFmtId="14" fontId="7" fillId="5" borderId="15" xfId="0" applyNumberFormat="1" applyFont="1" applyFill="1" applyBorder="1" applyAlignment="1">
      <alignment vertical="center" wrapText="1"/>
    </xf>
    <xf numFmtId="14" fontId="0" fillId="0" borderId="15" xfId="0" applyNumberFormat="1" applyBorder="1"/>
    <xf numFmtId="14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24" borderId="1" xfId="0" applyFont="1" applyFill="1" applyBorder="1" applyAlignment="1">
      <alignment vertical="center" wrapText="1"/>
    </xf>
    <xf numFmtId="14" fontId="7" fillId="0" borderId="19" xfId="0" applyNumberFormat="1" applyFont="1" applyBorder="1" applyAlignment="1">
      <alignment vertical="center" wrapText="1"/>
    </xf>
    <xf numFmtId="14" fontId="4" fillId="20" borderId="19" xfId="0" applyNumberFormat="1" applyFont="1" applyFill="1" applyBorder="1" applyAlignment="1">
      <alignment vertical="center" wrapText="1"/>
    </xf>
    <xf numFmtId="14" fontId="5" fillId="18" borderId="21" xfId="0" applyNumberFormat="1" applyFont="1" applyFill="1" applyBorder="1" applyAlignment="1">
      <alignment vertical="center" wrapText="1"/>
    </xf>
    <xf numFmtId="0" fontId="5" fillId="19" borderId="21" xfId="0" applyFont="1" applyFill="1" applyBorder="1" applyAlignment="1">
      <alignment vertical="center" wrapText="1"/>
    </xf>
    <xf numFmtId="14" fontId="5" fillId="0" borderId="22" xfId="0" applyNumberFormat="1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14" fontId="4" fillId="20" borderId="0" xfId="0" applyNumberFormat="1" applyFont="1" applyFill="1" applyAlignment="1">
      <alignment vertical="center" wrapText="1"/>
    </xf>
    <xf numFmtId="0" fontId="5" fillId="19" borderId="0" xfId="0" applyFont="1" applyFill="1" applyAlignment="1">
      <alignment vertical="center" wrapText="1"/>
    </xf>
    <xf numFmtId="0" fontId="22" fillId="16" borderId="7" xfId="0" applyFont="1" applyFill="1" applyBorder="1" applyAlignment="1">
      <alignment vertical="center" wrapText="1"/>
    </xf>
    <xf numFmtId="0" fontId="22" fillId="17" borderId="1" xfId="0" applyFont="1" applyFill="1" applyBorder="1" applyAlignment="1">
      <alignment vertical="center" wrapText="1"/>
    </xf>
    <xf numFmtId="0" fontId="22" fillId="16" borderId="13" xfId="0" applyFont="1" applyFill="1" applyBorder="1" applyAlignment="1">
      <alignment vertical="center" wrapText="1"/>
    </xf>
    <xf numFmtId="0" fontId="22" fillId="18" borderId="7" xfId="0" applyFont="1" applyFill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22" fillId="20" borderId="3" xfId="0" applyFont="1" applyFill="1" applyBorder="1" applyAlignment="1">
      <alignment vertical="center" wrapText="1"/>
    </xf>
    <xf numFmtId="0" fontId="22" fillId="21" borderId="7" xfId="0" applyFont="1" applyFill="1" applyBorder="1" applyAlignment="1">
      <alignment vertical="center" wrapText="1"/>
    </xf>
    <xf numFmtId="0" fontId="22" fillId="21" borderId="1" xfId="0" applyFont="1" applyFill="1" applyBorder="1" applyAlignment="1">
      <alignment vertical="center" wrapText="1"/>
    </xf>
    <xf numFmtId="0" fontId="4" fillId="21" borderId="10" xfId="0" applyFont="1" applyFill="1" applyBorder="1" applyAlignment="1">
      <alignment vertical="center" wrapText="1"/>
    </xf>
    <xf numFmtId="0" fontId="22" fillId="13" borderId="16" xfId="0" applyFont="1" applyFill="1" applyBorder="1" applyAlignment="1">
      <alignment vertical="center" wrapText="1"/>
    </xf>
    <xf numFmtId="0" fontId="22" fillId="13" borderId="15" xfId="0" applyFont="1" applyFill="1" applyBorder="1" applyAlignment="1">
      <alignment vertical="center" wrapText="1"/>
    </xf>
    <xf numFmtId="0" fontId="27" fillId="23" borderId="15" xfId="0" applyFont="1" applyFill="1" applyBorder="1"/>
    <xf numFmtId="0" fontId="9" fillId="3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/>
    </xf>
    <xf numFmtId="0" fontId="3" fillId="7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5" fillId="2" borderId="0" xfId="0" applyFont="1" applyFill="1" applyAlignment="1">
      <alignment horizontal="center" vertical="center" wrapText="1"/>
    </xf>
    <xf numFmtId="49" fontId="3" fillId="7" borderId="1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top" wrapText="1"/>
    </xf>
    <xf numFmtId="49" fontId="8" fillId="2" borderId="0" xfId="0" applyNumberFormat="1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6">
    <dxf>
      <font>
        <b/>
        <color rgb="FFFF0000"/>
      </font>
    </dxf>
    <dxf>
      <font>
        <b/>
        <color rgb="FF00B050"/>
      </font>
    </dxf>
    <dxf>
      <font>
        <b/>
        <color rgb="FF7030A0"/>
      </font>
    </dxf>
    <dxf>
      <font>
        <b/>
        <color rgb="FFFF0000"/>
      </font>
    </dxf>
    <dxf>
      <font>
        <b/>
        <color rgb="FF00B050"/>
      </font>
    </dxf>
    <dxf>
      <font>
        <b/>
        <color rgb="FF7030A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CCCCC"/>
      <rgbColor rgb="FF808080"/>
      <rgbColor rgb="FF9999FF"/>
      <rgbColor rgb="FF7030A0"/>
      <rgbColor rgb="FFF5F9EF"/>
      <rgbColor rgb="FFD6EAF8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3F4"/>
      <rgbColor rgb="FFF2F2F2"/>
      <rgbColor rgb="FFF9E79F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D4AC0D"/>
      <rgbColor rgb="FFFF6600"/>
      <rgbColor rgb="FF666699"/>
      <rgbColor rgb="FF969696"/>
      <rgbColor rgb="FF1A5276"/>
      <rgbColor rgb="FF1E8449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41"/>
  <sheetViews>
    <sheetView zoomScale="140" zoomScaleNormal="140" workbookViewId="0">
      <pane ySplit="11" topLeftCell="A27" activePane="bottomLeft" state="frozen"/>
      <selection pane="bottomLeft" activeCell="F33" sqref="F33:G40"/>
    </sheetView>
  </sheetViews>
  <sheetFormatPr baseColWidth="10" defaultColWidth="10.6640625" defaultRowHeight="15" x14ac:dyDescent="0.2"/>
  <cols>
    <col min="1" max="1" width="8" style="1" customWidth="1"/>
    <col min="2" max="2" width="16" style="1" customWidth="1"/>
    <col min="3" max="3" width="29" customWidth="1"/>
    <col min="4" max="4" width="49.83203125" customWidth="1"/>
    <col min="5" max="5" width="10" customWidth="1"/>
    <col min="6" max="6" width="10.1640625" customWidth="1"/>
    <col min="7" max="7" width="10.33203125" customWidth="1"/>
    <col min="8" max="8" width="26.1640625" customWidth="1"/>
  </cols>
  <sheetData>
    <row r="1" spans="1:12" ht="34.5" customHeight="1" x14ac:dyDescent="0.2">
      <c r="A1" s="276" t="s">
        <v>0</v>
      </c>
      <c r="B1" s="275"/>
      <c r="C1" s="270"/>
      <c r="D1" s="270"/>
      <c r="E1" s="270"/>
      <c r="F1" s="270"/>
      <c r="G1" s="270"/>
      <c r="H1" s="270"/>
    </row>
    <row r="2" spans="1:12" ht="21.75" customHeight="1" x14ac:dyDescent="0.2">
      <c r="A2" s="274" t="s">
        <v>1</v>
      </c>
      <c r="B2" s="275"/>
      <c r="C2" s="270"/>
      <c r="D2" s="270"/>
      <c r="E2" s="270"/>
      <c r="F2" s="270"/>
      <c r="G2" s="270"/>
      <c r="H2" s="270"/>
    </row>
    <row r="3" spans="1:12" ht="13" customHeight="1" x14ac:dyDescent="0.2">
      <c r="A3" s="2"/>
      <c r="B3" s="3"/>
      <c r="C3" s="3"/>
      <c r="D3" s="3"/>
      <c r="E3" s="3"/>
      <c r="F3" s="3"/>
      <c r="G3" s="3"/>
      <c r="H3" s="3"/>
    </row>
    <row r="4" spans="1:12" x14ac:dyDescent="0.2">
      <c r="A4" s="4" t="s">
        <v>2</v>
      </c>
      <c r="B4" s="5" t="s">
        <v>3</v>
      </c>
      <c r="C4" s="3"/>
      <c r="D4" s="3"/>
      <c r="E4" s="4" t="s">
        <v>4</v>
      </c>
      <c r="F4" s="244">
        <v>46160</v>
      </c>
      <c r="G4" s="3"/>
      <c r="H4" s="3"/>
    </row>
    <row r="5" spans="1:12" ht="27.75" customHeight="1" x14ac:dyDescent="0.2">
      <c r="A5" s="4" t="s">
        <v>5</v>
      </c>
      <c r="B5" s="5" t="s">
        <v>6</v>
      </c>
      <c r="C5" s="6"/>
      <c r="D5" s="7"/>
      <c r="E5" s="4" t="s">
        <v>7</v>
      </c>
      <c r="F5" s="244">
        <v>46213</v>
      </c>
      <c r="G5" s="3"/>
      <c r="H5" s="3"/>
    </row>
    <row r="6" spans="1:12" ht="27.75" customHeight="1" x14ac:dyDescent="0.2">
      <c r="A6" s="4" t="s">
        <v>8</v>
      </c>
      <c r="B6" s="5" t="s">
        <v>9</v>
      </c>
      <c r="C6" s="6"/>
      <c r="D6" s="7"/>
      <c r="E6" s="4" t="s">
        <v>10</v>
      </c>
      <c r="F6" s="5">
        <v>39</v>
      </c>
      <c r="G6" s="3"/>
      <c r="H6" s="3"/>
    </row>
    <row r="7" spans="1:12" ht="27.75" customHeight="1" x14ac:dyDescent="0.2">
      <c r="A7" s="5"/>
      <c r="B7" s="5" t="s">
        <v>11</v>
      </c>
      <c r="C7" s="6"/>
      <c r="D7" s="3"/>
      <c r="E7" s="4" t="s">
        <v>12</v>
      </c>
      <c r="F7" s="5">
        <v>39</v>
      </c>
      <c r="G7" s="3"/>
      <c r="H7" s="3"/>
    </row>
    <row r="8" spans="1:12" ht="36" customHeight="1" x14ac:dyDescent="0.2">
      <c r="A8" s="3"/>
      <c r="B8" s="5" t="s">
        <v>13</v>
      </c>
      <c r="C8" s="6"/>
      <c r="D8" s="3"/>
      <c r="E8" s="3"/>
      <c r="F8" s="3"/>
      <c r="G8" s="3"/>
      <c r="H8" s="3"/>
    </row>
    <row r="9" spans="1:12" x14ac:dyDescent="0.2">
      <c r="A9" s="3"/>
      <c r="B9" s="3"/>
      <c r="C9" s="3"/>
      <c r="D9" s="3"/>
      <c r="E9" s="3"/>
      <c r="F9" s="3"/>
      <c r="G9" s="3"/>
      <c r="H9" s="3"/>
    </row>
    <row r="10" spans="1:12" x14ac:dyDescent="0.2">
      <c r="A10" s="8" t="s">
        <v>14</v>
      </c>
      <c r="B10" s="8" t="s">
        <v>15</v>
      </c>
      <c r="C10" s="8" t="s">
        <v>16</v>
      </c>
      <c r="D10" s="8" t="s">
        <v>17</v>
      </c>
      <c r="E10" s="8" t="s">
        <v>18</v>
      </c>
      <c r="F10" s="8" t="s">
        <v>19</v>
      </c>
      <c r="G10" s="8" t="s">
        <v>20</v>
      </c>
      <c r="H10" s="8" t="s">
        <v>21</v>
      </c>
    </row>
    <row r="11" spans="1:12" ht="28" customHeight="1" x14ac:dyDescent="0.2">
      <c r="A11" s="190">
        <v>1</v>
      </c>
      <c r="B11" s="9"/>
      <c r="C11" s="9" t="s">
        <v>22</v>
      </c>
      <c r="D11" s="9" t="s">
        <v>23</v>
      </c>
      <c r="E11" s="9">
        <v>2</v>
      </c>
      <c r="F11" s="72">
        <v>46160</v>
      </c>
      <c r="G11" s="72">
        <v>46161</v>
      </c>
      <c r="H11" s="11" t="s">
        <v>24</v>
      </c>
    </row>
    <row r="12" spans="1:12" ht="28" customHeight="1" x14ac:dyDescent="0.2">
      <c r="A12" s="190">
        <v>2</v>
      </c>
      <c r="B12" s="9"/>
      <c r="C12" s="9" t="s">
        <v>25</v>
      </c>
      <c r="D12" s="9" t="s">
        <v>26</v>
      </c>
      <c r="E12" s="9">
        <v>3</v>
      </c>
      <c r="F12" s="72">
        <v>46162</v>
      </c>
      <c r="G12" s="72">
        <v>46168</v>
      </c>
      <c r="H12" s="9" t="s">
        <v>24</v>
      </c>
    </row>
    <row r="13" spans="1:12" ht="28" customHeight="1" x14ac:dyDescent="0.2">
      <c r="A13" s="192">
        <v>3</v>
      </c>
      <c r="B13" s="12" t="s">
        <v>27</v>
      </c>
      <c r="C13" s="12" t="s">
        <v>28</v>
      </c>
      <c r="D13" s="12" t="s">
        <v>29</v>
      </c>
      <c r="E13" s="12">
        <v>1</v>
      </c>
      <c r="F13" s="78">
        <v>46169</v>
      </c>
      <c r="G13" s="78">
        <v>46169</v>
      </c>
      <c r="H13" s="12" t="s">
        <v>24</v>
      </c>
    </row>
    <row r="14" spans="1:12" ht="16" customHeight="1" thickBot="1" x14ac:dyDescent="0.25">
      <c r="A14" s="193">
        <v>4</v>
      </c>
      <c r="B14" s="81" t="s">
        <v>30</v>
      </c>
      <c r="C14" s="81" t="s">
        <v>31</v>
      </c>
      <c r="D14" s="81" t="s">
        <v>32</v>
      </c>
      <c r="E14" s="81"/>
      <c r="F14" s="82">
        <v>46169</v>
      </c>
      <c r="G14" s="82">
        <v>46169</v>
      </c>
      <c r="H14" s="81" t="s">
        <v>24</v>
      </c>
    </row>
    <row r="15" spans="1:12" ht="28" customHeight="1" x14ac:dyDescent="0.2">
      <c r="A15" s="217">
        <v>5</v>
      </c>
      <c r="B15" s="96" t="s">
        <v>33</v>
      </c>
      <c r="C15" s="96" t="s">
        <v>34</v>
      </c>
      <c r="D15" s="96" t="s">
        <v>35</v>
      </c>
      <c r="E15" s="96">
        <v>5</v>
      </c>
      <c r="F15" s="232">
        <v>46170</v>
      </c>
      <c r="G15" s="232">
        <v>46176</v>
      </c>
      <c r="H15" s="97" t="s">
        <v>36</v>
      </c>
      <c r="I15" s="79" t="s">
        <v>37</v>
      </c>
    </row>
    <row r="16" spans="1:12" ht="28" customHeight="1" x14ac:dyDescent="0.2">
      <c r="A16" s="195">
        <v>6</v>
      </c>
      <c r="B16" s="105" t="s">
        <v>38</v>
      </c>
      <c r="C16" s="105" t="s">
        <v>39</v>
      </c>
      <c r="D16" s="105" t="s">
        <v>40</v>
      </c>
      <c r="E16" s="105">
        <v>3</v>
      </c>
      <c r="F16" s="133">
        <v>46170</v>
      </c>
      <c r="G16" s="133">
        <v>46174</v>
      </c>
      <c r="H16" s="106" t="s">
        <v>36</v>
      </c>
      <c r="I16" s="79" t="s">
        <v>37</v>
      </c>
      <c r="L16" s="79"/>
    </row>
    <row r="17" spans="1:9" x14ac:dyDescent="0.2">
      <c r="A17" s="218">
        <v>7</v>
      </c>
      <c r="B17" s="99" t="s">
        <v>41</v>
      </c>
      <c r="C17" s="99" t="s">
        <v>42</v>
      </c>
      <c r="D17" s="99" t="s">
        <v>43</v>
      </c>
      <c r="E17" s="99">
        <v>1</v>
      </c>
      <c r="F17" s="233">
        <v>46175</v>
      </c>
      <c r="G17" s="233">
        <v>46175</v>
      </c>
      <c r="H17" s="100" t="s">
        <v>36</v>
      </c>
      <c r="I17" t="s">
        <v>44</v>
      </c>
    </row>
    <row r="18" spans="1:9" ht="28" customHeight="1" x14ac:dyDescent="0.2">
      <c r="A18" s="203">
        <v>8</v>
      </c>
      <c r="B18" s="107" t="s">
        <v>45</v>
      </c>
      <c r="C18" s="107" t="s">
        <v>46</v>
      </c>
      <c r="D18" s="107" t="s">
        <v>47</v>
      </c>
      <c r="E18" s="107">
        <v>1</v>
      </c>
      <c r="F18" s="162">
        <v>46176</v>
      </c>
      <c r="G18" s="162">
        <v>46176</v>
      </c>
      <c r="H18" s="108" t="s">
        <v>36</v>
      </c>
      <c r="I18" t="s">
        <v>44</v>
      </c>
    </row>
    <row r="19" spans="1:9" ht="16" customHeight="1" thickBot="1" x14ac:dyDescent="0.25">
      <c r="A19" s="219">
        <v>9</v>
      </c>
      <c r="B19" s="103" t="s">
        <v>48</v>
      </c>
      <c r="C19" s="103" t="s">
        <v>49</v>
      </c>
      <c r="D19" s="103" t="s">
        <v>50</v>
      </c>
      <c r="E19" s="103"/>
      <c r="F19" s="234">
        <v>46176</v>
      </c>
      <c r="G19" s="234">
        <v>46176</v>
      </c>
      <c r="H19" s="104" t="s">
        <v>36</v>
      </c>
      <c r="I19" t="s">
        <v>44</v>
      </c>
    </row>
    <row r="20" spans="1:9" ht="28" customHeight="1" x14ac:dyDescent="0.2">
      <c r="A20" s="199">
        <v>10</v>
      </c>
      <c r="B20" s="109" t="s">
        <v>51</v>
      </c>
      <c r="C20" s="109" t="s">
        <v>52</v>
      </c>
      <c r="D20" s="109" t="s">
        <v>53</v>
      </c>
      <c r="E20" s="109">
        <v>5</v>
      </c>
      <c r="F20" s="141">
        <v>46188</v>
      </c>
      <c r="G20" s="141">
        <v>46192</v>
      </c>
      <c r="H20" s="110" t="s">
        <v>54</v>
      </c>
      <c r="I20" t="s">
        <v>44</v>
      </c>
    </row>
    <row r="21" spans="1:9" ht="28" customHeight="1" x14ac:dyDescent="0.2">
      <c r="A21" s="196">
        <v>11</v>
      </c>
      <c r="B21" s="114" t="s">
        <v>55</v>
      </c>
      <c r="C21" s="114" t="s">
        <v>56</v>
      </c>
      <c r="D21" s="114" t="s">
        <v>57</v>
      </c>
      <c r="E21" s="114">
        <v>3</v>
      </c>
      <c r="F21" s="132">
        <v>46188</v>
      </c>
      <c r="G21" s="132">
        <v>46190</v>
      </c>
      <c r="H21" s="115" t="s">
        <v>54</v>
      </c>
      <c r="I21" t="s">
        <v>44</v>
      </c>
    </row>
    <row r="22" spans="1:9" ht="27.75" customHeight="1" x14ac:dyDescent="0.2">
      <c r="A22" s="200">
        <v>12</v>
      </c>
      <c r="B22" s="111" t="s">
        <v>58</v>
      </c>
      <c r="C22" s="112" t="s">
        <v>59</v>
      </c>
      <c r="D22" s="111" t="s">
        <v>60</v>
      </c>
      <c r="E22" s="111">
        <v>2</v>
      </c>
      <c r="F22" s="144">
        <v>46191</v>
      </c>
      <c r="G22" s="144">
        <v>46192</v>
      </c>
      <c r="H22" s="113" t="s">
        <v>54</v>
      </c>
      <c r="I22" t="s">
        <v>44</v>
      </c>
    </row>
    <row r="23" spans="1:9" ht="28" customHeight="1" thickBot="1" x14ac:dyDescent="0.25">
      <c r="A23" s="198">
        <v>13</v>
      </c>
      <c r="B23" s="116" t="s">
        <v>61</v>
      </c>
      <c r="C23" s="117" t="s">
        <v>62</v>
      </c>
      <c r="D23" s="116" t="s">
        <v>63</v>
      </c>
      <c r="E23" s="116"/>
      <c r="F23" s="137">
        <v>46192</v>
      </c>
      <c r="G23" s="137">
        <v>46192</v>
      </c>
      <c r="H23" s="118" t="s">
        <v>54</v>
      </c>
      <c r="I23" t="s">
        <v>44</v>
      </c>
    </row>
    <row r="24" spans="1:9" x14ac:dyDescent="0.2">
      <c r="A24" s="220">
        <v>14</v>
      </c>
      <c r="B24" s="90" t="s">
        <v>64</v>
      </c>
      <c r="C24" s="89" t="s">
        <v>65</v>
      </c>
      <c r="D24" s="90" t="s">
        <v>66</v>
      </c>
      <c r="E24" s="90">
        <v>5</v>
      </c>
      <c r="F24" s="235">
        <v>46191</v>
      </c>
      <c r="G24" s="235">
        <v>46197</v>
      </c>
      <c r="H24" s="91" t="s">
        <v>67</v>
      </c>
      <c r="I24" t="s">
        <v>44</v>
      </c>
    </row>
    <row r="25" spans="1:9" ht="28" customHeight="1" x14ac:dyDescent="0.2">
      <c r="A25" s="221">
        <v>15</v>
      </c>
      <c r="B25" s="14" t="s">
        <v>68</v>
      </c>
      <c r="C25" s="17" t="s">
        <v>69</v>
      </c>
      <c r="D25" s="14" t="s">
        <v>70</v>
      </c>
      <c r="E25" s="14">
        <v>2</v>
      </c>
      <c r="F25" s="73">
        <v>46191</v>
      </c>
      <c r="G25" s="73">
        <v>46192</v>
      </c>
      <c r="H25" s="92" t="s">
        <v>67</v>
      </c>
      <c r="I25" t="s">
        <v>44</v>
      </c>
    </row>
    <row r="26" spans="1:9" ht="28" customHeight="1" x14ac:dyDescent="0.2">
      <c r="A26" s="222">
        <v>16</v>
      </c>
      <c r="B26" s="12" t="s">
        <v>71</v>
      </c>
      <c r="C26" s="12" t="s">
        <v>72</v>
      </c>
      <c r="D26" s="12" t="s">
        <v>73</v>
      </c>
      <c r="E26" s="12">
        <v>1</v>
      </c>
      <c r="F26" s="236">
        <v>46195</v>
      </c>
      <c r="G26" s="236">
        <v>46195</v>
      </c>
      <c r="H26" s="86" t="s">
        <v>67</v>
      </c>
      <c r="I26" t="s">
        <v>44</v>
      </c>
    </row>
    <row r="27" spans="1:9" ht="28" customHeight="1" x14ac:dyDescent="0.2">
      <c r="A27" s="223">
        <v>17</v>
      </c>
      <c r="B27" s="13" t="s">
        <v>74</v>
      </c>
      <c r="C27" s="16" t="s">
        <v>75</v>
      </c>
      <c r="D27" s="13" t="s">
        <v>76</v>
      </c>
      <c r="E27" s="230">
        <v>2</v>
      </c>
      <c r="F27" s="237">
        <v>46196</v>
      </c>
      <c r="G27" s="237">
        <v>46197</v>
      </c>
      <c r="H27" s="231" t="s">
        <v>67</v>
      </c>
      <c r="I27" t="s">
        <v>44</v>
      </c>
    </row>
    <row r="28" spans="1:9" ht="16" customHeight="1" thickBot="1" x14ac:dyDescent="0.25">
      <c r="A28" s="224">
        <v>18</v>
      </c>
      <c r="B28" s="88" t="s">
        <v>77</v>
      </c>
      <c r="C28" s="94" t="s">
        <v>78</v>
      </c>
      <c r="D28" s="88" t="s">
        <v>79</v>
      </c>
      <c r="E28" s="88"/>
      <c r="F28" s="238">
        <v>46197</v>
      </c>
      <c r="G28" s="238">
        <v>46197</v>
      </c>
      <c r="H28" s="93" t="s">
        <v>67</v>
      </c>
      <c r="I28" t="s">
        <v>44</v>
      </c>
    </row>
    <row r="29" spans="1:9" x14ac:dyDescent="0.2">
      <c r="A29" s="220">
        <v>19</v>
      </c>
      <c r="B29" s="90" t="s">
        <v>80</v>
      </c>
      <c r="C29" s="90" t="s">
        <v>81</v>
      </c>
      <c r="D29" s="90" t="s">
        <v>82</v>
      </c>
      <c r="E29" s="90">
        <v>5</v>
      </c>
      <c r="F29" s="235">
        <v>46197</v>
      </c>
      <c r="G29" s="235">
        <v>46203</v>
      </c>
      <c r="H29" s="91" t="s">
        <v>83</v>
      </c>
      <c r="I29" t="s">
        <v>44</v>
      </c>
    </row>
    <row r="30" spans="1:9" x14ac:dyDescent="0.2">
      <c r="A30" s="222">
        <v>20</v>
      </c>
      <c r="B30" s="18" t="s">
        <v>84</v>
      </c>
      <c r="C30" s="18" t="s">
        <v>85</v>
      </c>
      <c r="D30" s="12" t="s">
        <v>86</v>
      </c>
      <c r="E30" s="12">
        <v>2</v>
      </c>
      <c r="F30" s="78">
        <v>46197</v>
      </c>
      <c r="G30" s="78">
        <v>46198</v>
      </c>
      <c r="H30" s="86" t="s">
        <v>83</v>
      </c>
      <c r="I30" t="s">
        <v>44</v>
      </c>
    </row>
    <row r="31" spans="1:9" ht="28" customHeight="1" x14ac:dyDescent="0.2">
      <c r="A31" s="223">
        <v>21</v>
      </c>
      <c r="B31" s="16" t="s">
        <v>87</v>
      </c>
      <c r="C31" s="16" t="s">
        <v>88</v>
      </c>
      <c r="D31" s="13" t="s">
        <v>89</v>
      </c>
      <c r="E31" s="13">
        <v>3</v>
      </c>
      <c r="F31" s="239">
        <v>46564</v>
      </c>
      <c r="G31" s="239">
        <v>46203</v>
      </c>
      <c r="H31" s="87" t="s">
        <v>83</v>
      </c>
      <c r="I31" t="s">
        <v>44</v>
      </c>
    </row>
    <row r="32" spans="1:9" ht="16" customHeight="1" thickBot="1" x14ac:dyDescent="0.25">
      <c r="A32" s="224">
        <v>22</v>
      </c>
      <c r="B32" s="88" t="s">
        <v>90</v>
      </c>
      <c r="C32" s="88" t="s">
        <v>91</v>
      </c>
      <c r="D32" s="88" t="s">
        <v>92</v>
      </c>
      <c r="E32" s="88"/>
      <c r="F32" s="240">
        <v>46203</v>
      </c>
      <c r="G32" s="240">
        <v>46203</v>
      </c>
      <c r="H32" s="93" t="s">
        <v>83</v>
      </c>
      <c r="I32" t="s">
        <v>44</v>
      </c>
    </row>
    <row r="33" spans="1:9" x14ac:dyDescent="0.2">
      <c r="A33" s="220">
        <v>23</v>
      </c>
      <c r="B33" s="90" t="s">
        <v>93</v>
      </c>
      <c r="C33" s="90" t="s">
        <v>94</v>
      </c>
      <c r="D33" s="90" t="s">
        <v>95</v>
      </c>
      <c r="E33" s="90">
        <v>5</v>
      </c>
      <c r="F33" s="235">
        <v>46204</v>
      </c>
      <c r="G33" s="235">
        <v>46210</v>
      </c>
      <c r="H33" s="91" t="s">
        <v>96</v>
      </c>
      <c r="I33" t="s">
        <v>44</v>
      </c>
    </row>
    <row r="34" spans="1:9" ht="28" customHeight="1" x14ac:dyDescent="0.2">
      <c r="A34" s="222">
        <v>24</v>
      </c>
      <c r="B34" s="12" t="s">
        <v>97</v>
      </c>
      <c r="C34" s="12" t="s">
        <v>98</v>
      </c>
      <c r="D34" s="12" t="s">
        <v>99</v>
      </c>
      <c r="E34" s="12">
        <v>2</v>
      </c>
      <c r="F34" s="78">
        <v>46204</v>
      </c>
      <c r="G34" s="78">
        <v>46205</v>
      </c>
      <c r="H34" s="86" t="s">
        <v>96</v>
      </c>
      <c r="I34" t="s">
        <v>44</v>
      </c>
    </row>
    <row r="35" spans="1:9" x14ac:dyDescent="0.2">
      <c r="A35" s="225">
        <v>25</v>
      </c>
      <c r="B35" s="9" t="s">
        <v>100</v>
      </c>
      <c r="C35" s="9" t="s">
        <v>101</v>
      </c>
      <c r="D35" s="9" t="s">
        <v>102</v>
      </c>
      <c r="E35" s="9">
        <v>3</v>
      </c>
      <c r="F35" s="72">
        <v>46206</v>
      </c>
      <c r="G35" s="72">
        <v>46210</v>
      </c>
      <c r="H35" s="148" t="s">
        <v>96</v>
      </c>
      <c r="I35" t="s">
        <v>44</v>
      </c>
    </row>
    <row r="36" spans="1:9" x14ac:dyDescent="0.2">
      <c r="A36" s="226">
        <v>26</v>
      </c>
      <c r="B36" s="212" t="s">
        <v>103</v>
      </c>
      <c r="C36" s="212" t="s">
        <v>104</v>
      </c>
      <c r="D36" s="212" t="s">
        <v>105</v>
      </c>
      <c r="E36" s="212"/>
      <c r="F36" s="241">
        <v>46210</v>
      </c>
      <c r="G36" s="241">
        <v>46210</v>
      </c>
      <c r="H36" s="213" t="s">
        <v>96</v>
      </c>
      <c r="I36" t="s">
        <v>44</v>
      </c>
    </row>
    <row r="37" spans="1:9" ht="28" customHeight="1" x14ac:dyDescent="0.2">
      <c r="A37" s="227">
        <v>27</v>
      </c>
      <c r="B37" s="214" t="s">
        <v>106</v>
      </c>
      <c r="C37" s="214" t="s">
        <v>107</v>
      </c>
      <c r="D37" s="214" t="s">
        <v>108</v>
      </c>
      <c r="E37" s="214">
        <v>2</v>
      </c>
      <c r="F37" s="242">
        <v>46210</v>
      </c>
      <c r="G37" s="242">
        <v>46211</v>
      </c>
      <c r="H37" s="214" t="s">
        <v>24</v>
      </c>
    </row>
    <row r="38" spans="1:9" x14ac:dyDescent="0.2">
      <c r="A38" s="227">
        <v>28</v>
      </c>
      <c r="B38" s="214" t="s">
        <v>109</v>
      </c>
      <c r="C38" s="214" t="s">
        <v>110</v>
      </c>
      <c r="D38" s="214" t="s">
        <v>111</v>
      </c>
      <c r="E38" s="214">
        <v>1</v>
      </c>
      <c r="F38" s="242">
        <v>46212</v>
      </c>
      <c r="G38" s="242">
        <v>46212</v>
      </c>
      <c r="H38" s="214" t="s">
        <v>24</v>
      </c>
    </row>
    <row r="39" spans="1:9" x14ac:dyDescent="0.2">
      <c r="A39" s="228">
        <v>29</v>
      </c>
      <c r="B39" s="215" t="s">
        <v>112</v>
      </c>
      <c r="C39" s="216" t="s">
        <v>113</v>
      </c>
      <c r="D39" s="216" t="s">
        <v>114</v>
      </c>
      <c r="E39" s="216"/>
      <c r="F39" s="243">
        <v>46212</v>
      </c>
      <c r="G39" s="243">
        <v>46212</v>
      </c>
      <c r="H39" s="216" t="s">
        <v>24</v>
      </c>
    </row>
    <row r="40" spans="1:9" x14ac:dyDescent="0.2">
      <c r="A40" s="228">
        <v>30</v>
      </c>
      <c r="B40" s="215" t="s">
        <v>115</v>
      </c>
      <c r="C40" s="216" t="s">
        <v>116</v>
      </c>
      <c r="D40" s="216" t="s">
        <v>117</v>
      </c>
      <c r="E40" s="216"/>
      <c r="F40" s="243">
        <v>46213</v>
      </c>
      <c r="G40" s="243">
        <v>46213</v>
      </c>
      <c r="H40" s="216" t="s">
        <v>24</v>
      </c>
    </row>
    <row r="41" spans="1:9" x14ac:dyDescent="0.2">
      <c r="A41" s="229"/>
      <c r="F41" s="74"/>
      <c r="G41" s="74"/>
    </row>
  </sheetData>
  <mergeCells count="2">
    <mergeCell ref="A2:H2"/>
    <mergeCell ref="A1:H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140" zoomScaleNormal="140" workbookViewId="0">
      <pane ySplit="4" topLeftCell="A5" activePane="bottomLeft" state="frozen"/>
      <selection pane="bottomLeft" activeCell="F11" sqref="F11"/>
    </sheetView>
  </sheetViews>
  <sheetFormatPr baseColWidth="10" defaultColWidth="10.6640625" defaultRowHeight="15" x14ac:dyDescent="0.2"/>
  <cols>
    <col min="1" max="1" width="6" style="20" customWidth="1"/>
    <col min="2" max="2" width="13.5" customWidth="1"/>
    <col min="3" max="3" width="18" style="20" customWidth="1"/>
    <col min="4" max="4" width="50" style="21" customWidth="1"/>
    <col min="5" max="5" width="18" customWidth="1"/>
    <col min="6" max="6" width="16" customWidth="1"/>
  </cols>
  <sheetData>
    <row r="1" spans="1:6" ht="27.75" customHeight="1" x14ac:dyDescent="0.2">
      <c r="A1" s="273" t="s">
        <v>118</v>
      </c>
      <c r="B1" s="270"/>
      <c r="C1" s="271"/>
      <c r="D1" s="272"/>
      <c r="E1" s="270"/>
      <c r="F1" s="270"/>
    </row>
    <row r="2" spans="1:6" ht="15.75" customHeight="1" x14ac:dyDescent="0.2">
      <c r="A2" s="269" t="s">
        <v>119</v>
      </c>
      <c r="B2" s="270"/>
      <c r="C2" s="271"/>
      <c r="D2" s="272"/>
      <c r="E2" s="270"/>
      <c r="F2" s="270"/>
    </row>
    <row r="3" spans="1:6" x14ac:dyDescent="0.2">
      <c r="A3" s="22"/>
      <c r="D3" s="23"/>
      <c r="E3" s="24"/>
      <c r="F3" s="24"/>
    </row>
    <row r="4" spans="1:6" ht="15.75" customHeight="1" x14ac:dyDescent="0.2">
      <c r="A4" s="8" t="s">
        <v>120</v>
      </c>
      <c r="B4" s="8" t="s">
        <v>121</v>
      </c>
      <c r="C4" s="8" t="s">
        <v>122</v>
      </c>
      <c r="D4" s="8" t="s">
        <v>123</v>
      </c>
      <c r="E4" s="8" t="s">
        <v>124</v>
      </c>
      <c r="F4" s="8" t="s">
        <v>125</v>
      </c>
    </row>
    <row r="5" spans="1:6" ht="28" customHeight="1" x14ac:dyDescent="0.2">
      <c r="A5" s="9">
        <v>1</v>
      </c>
      <c r="B5" s="10">
        <v>46160</v>
      </c>
      <c r="C5" s="9" t="s">
        <v>126</v>
      </c>
      <c r="D5" s="9" t="s">
        <v>127</v>
      </c>
      <c r="E5" s="9" t="s">
        <v>128</v>
      </c>
      <c r="F5" s="25" t="s">
        <v>129</v>
      </c>
    </row>
    <row r="6" spans="1:6" ht="56" customHeight="1" x14ac:dyDescent="0.2">
      <c r="A6" s="14">
        <v>2</v>
      </c>
      <c r="B6" s="15">
        <v>46169</v>
      </c>
      <c r="C6" s="14" t="s">
        <v>28</v>
      </c>
      <c r="D6" s="14" t="s">
        <v>130</v>
      </c>
      <c r="E6" s="14" t="s">
        <v>128</v>
      </c>
      <c r="F6" s="26" t="s">
        <v>125</v>
      </c>
    </row>
    <row r="7" spans="1:6" ht="28" customHeight="1" x14ac:dyDescent="0.2">
      <c r="A7" s="9">
        <v>3</v>
      </c>
      <c r="B7" s="10">
        <v>46170</v>
      </c>
      <c r="C7" s="9" t="s">
        <v>131</v>
      </c>
      <c r="D7" s="9" t="s">
        <v>132</v>
      </c>
      <c r="E7" s="9" t="s">
        <v>128</v>
      </c>
      <c r="F7" s="75" t="s">
        <v>125</v>
      </c>
    </row>
    <row r="8" spans="1:6" ht="56" customHeight="1" x14ac:dyDescent="0.2">
      <c r="A8" s="14">
        <v>4</v>
      </c>
      <c r="B8" s="15">
        <v>46188</v>
      </c>
      <c r="C8" s="14" t="s">
        <v>133</v>
      </c>
      <c r="D8" s="14" t="s">
        <v>134</v>
      </c>
      <c r="E8" s="14" t="s">
        <v>128</v>
      </c>
      <c r="F8" s="76" t="s">
        <v>125</v>
      </c>
    </row>
    <row r="9" spans="1:6" ht="28" customHeight="1" x14ac:dyDescent="0.2">
      <c r="A9" s="9">
        <v>5</v>
      </c>
      <c r="B9" s="10">
        <v>46184</v>
      </c>
      <c r="C9" s="9" t="s">
        <v>135</v>
      </c>
      <c r="D9" s="9" t="s">
        <v>136</v>
      </c>
      <c r="E9" s="9" t="s">
        <v>128</v>
      </c>
      <c r="F9" s="28" t="s">
        <v>137</v>
      </c>
    </row>
    <row r="10" spans="1:6" ht="32" customHeight="1" x14ac:dyDescent="0.2">
      <c r="A10" s="20">
        <v>6</v>
      </c>
      <c r="B10" s="19">
        <v>46191</v>
      </c>
      <c r="C10" s="20" t="s">
        <v>138</v>
      </c>
      <c r="D10" s="21" t="s">
        <v>139</v>
      </c>
      <c r="E10" t="s">
        <v>128</v>
      </c>
      <c r="F10" t="s">
        <v>137</v>
      </c>
    </row>
    <row r="11" spans="1:6" ht="144" customHeight="1" x14ac:dyDescent="0.2">
      <c r="A11" s="20">
        <v>7</v>
      </c>
      <c r="B11" s="74">
        <v>46190</v>
      </c>
      <c r="C11" t="s">
        <v>58</v>
      </c>
      <c r="D11" s="21" t="s">
        <v>140</v>
      </c>
      <c r="E11" t="s">
        <v>128</v>
      </c>
      <c r="F11" s="95" t="s">
        <v>141</v>
      </c>
    </row>
  </sheetData>
  <mergeCells count="2">
    <mergeCell ref="A2:F2"/>
    <mergeCell ref="A1:F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zoomScale="140" zoomScaleNormal="140" workbookViewId="0">
      <pane ySplit="2" topLeftCell="A22" activePane="bottomLeft" state="frozen"/>
      <selection pane="bottomLeft" activeCell="A3" sqref="A3:XFD3"/>
    </sheetView>
  </sheetViews>
  <sheetFormatPr baseColWidth="10" defaultColWidth="10.6640625" defaultRowHeight="15" x14ac:dyDescent="0.2"/>
  <cols>
    <col min="1" max="1" width="22" style="20" customWidth="1"/>
    <col min="2" max="2" width="16" style="29" customWidth="1"/>
    <col min="3" max="3" width="10" style="20" customWidth="1"/>
    <col min="4" max="4" width="98.83203125" style="20" customWidth="1"/>
    <col min="5" max="5" width="8.33203125" customWidth="1"/>
    <col min="6" max="6" width="54.83203125" customWidth="1"/>
  </cols>
  <sheetData>
    <row r="1" spans="1:5" ht="27.75" customHeight="1" x14ac:dyDescent="0.2">
      <c r="A1" s="273" t="s">
        <v>142</v>
      </c>
      <c r="B1" s="277"/>
      <c r="C1" s="271"/>
      <c r="D1" s="271"/>
    </row>
    <row r="2" spans="1:5" ht="15" customHeight="1" x14ac:dyDescent="0.2">
      <c r="A2" s="269" t="s">
        <v>143</v>
      </c>
      <c r="B2" s="277"/>
      <c r="C2" s="271"/>
      <c r="D2" s="271"/>
    </row>
    <row r="3" spans="1:5" ht="24" customHeight="1" x14ac:dyDescent="0.3">
      <c r="A3" s="30"/>
      <c r="B3" s="31"/>
      <c r="D3" s="32"/>
      <c r="E3" s="33"/>
    </row>
    <row r="4" spans="1:5" ht="18" customHeight="1" x14ac:dyDescent="0.2">
      <c r="A4" s="281" t="s">
        <v>144</v>
      </c>
      <c r="B4" s="277"/>
      <c r="C4" s="271"/>
      <c r="D4" s="271"/>
    </row>
    <row r="5" spans="1:5" x14ac:dyDescent="0.2">
      <c r="A5" s="34" t="s">
        <v>145</v>
      </c>
      <c r="B5" s="17" t="s">
        <v>38</v>
      </c>
      <c r="C5" s="34" t="s">
        <v>146</v>
      </c>
      <c r="D5" s="14" t="s">
        <v>147</v>
      </c>
    </row>
    <row r="6" spans="1:5" x14ac:dyDescent="0.2">
      <c r="A6" s="34" t="s">
        <v>148</v>
      </c>
      <c r="B6" s="17" t="s">
        <v>149</v>
      </c>
      <c r="C6" s="34" t="s">
        <v>150</v>
      </c>
      <c r="D6" s="14" t="s">
        <v>36</v>
      </c>
    </row>
    <row r="7" spans="1:5" ht="51" customHeight="1" x14ac:dyDescent="0.2">
      <c r="A7" s="34" t="s">
        <v>151</v>
      </c>
      <c r="B7" s="282" t="s">
        <v>152</v>
      </c>
      <c r="C7" s="279"/>
      <c r="D7" s="280"/>
    </row>
    <row r="8" spans="1:5" ht="54" customHeight="1" x14ac:dyDescent="0.2">
      <c r="A8" s="34" t="s">
        <v>153</v>
      </c>
      <c r="B8" s="282" t="s">
        <v>154</v>
      </c>
      <c r="C8" s="279"/>
      <c r="D8" s="280"/>
    </row>
    <row r="9" spans="1:5" ht="45" customHeight="1" x14ac:dyDescent="0.2">
      <c r="A9" s="34" t="s">
        <v>155</v>
      </c>
      <c r="B9" s="282" t="s">
        <v>156</v>
      </c>
      <c r="C9" s="279"/>
      <c r="D9" s="280"/>
    </row>
    <row r="10" spans="1:5" ht="15.75" customHeight="1" x14ac:dyDescent="0.2">
      <c r="A10" s="29"/>
    </row>
    <row r="11" spans="1:5" ht="18" customHeight="1" x14ac:dyDescent="0.2">
      <c r="A11" s="270" t="s">
        <v>157</v>
      </c>
      <c r="B11" s="277"/>
      <c r="C11" s="271"/>
      <c r="D11" s="271"/>
    </row>
    <row r="12" spans="1:5" x14ac:dyDescent="0.2">
      <c r="A12" t="s">
        <v>145</v>
      </c>
      <c r="B12" t="s">
        <v>158</v>
      </c>
      <c r="C12" t="s">
        <v>146</v>
      </c>
      <c r="D12" t="s">
        <v>159</v>
      </c>
    </row>
    <row r="13" spans="1:5" ht="52.5" customHeight="1" x14ac:dyDescent="0.2">
      <c r="A13" t="s">
        <v>148</v>
      </c>
      <c r="B13" t="s">
        <v>160</v>
      </c>
      <c r="C13" t="s">
        <v>150</v>
      </c>
      <c r="D13" t="s">
        <v>36</v>
      </c>
    </row>
    <row r="14" spans="1:5" ht="45" customHeight="1" x14ac:dyDescent="0.2">
      <c r="A14" t="s">
        <v>151</v>
      </c>
      <c r="B14" s="272" t="s">
        <v>161</v>
      </c>
      <c r="C14" s="271"/>
      <c r="D14" s="271"/>
    </row>
    <row r="15" spans="1:5" ht="45" customHeight="1" x14ac:dyDescent="0.2">
      <c r="A15" t="s">
        <v>153</v>
      </c>
      <c r="B15" s="272" t="s">
        <v>162</v>
      </c>
      <c r="C15" s="271"/>
      <c r="D15" s="271"/>
    </row>
    <row r="16" spans="1:5" ht="45" customHeight="1" x14ac:dyDescent="0.2">
      <c r="A16" t="s">
        <v>155</v>
      </c>
      <c r="B16" s="272" t="s">
        <v>163</v>
      </c>
      <c r="C16" s="271"/>
      <c r="D16" s="271"/>
    </row>
    <row r="17" spans="1:4" ht="31.5" customHeight="1" x14ac:dyDescent="0.2"/>
    <row r="18" spans="1:4" ht="18" customHeight="1" x14ac:dyDescent="0.2">
      <c r="A18" s="281" t="s">
        <v>164</v>
      </c>
      <c r="B18" s="277"/>
      <c r="C18" s="271"/>
      <c r="D18" s="271"/>
    </row>
    <row r="19" spans="1:4" ht="48" customHeight="1" x14ac:dyDescent="0.2">
      <c r="A19" s="34" t="s">
        <v>145</v>
      </c>
      <c r="B19" s="17" t="s">
        <v>41</v>
      </c>
      <c r="C19" s="34" t="s">
        <v>146</v>
      </c>
      <c r="D19" s="14" t="s">
        <v>42</v>
      </c>
    </row>
    <row r="20" spans="1:4" ht="33" customHeight="1" x14ac:dyDescent="0.2">
      <c r="A20" s="34" t="s">
        <v>148</v>
      </c>
      <c r="B20" s="17" t="s">
        <v>160</v>
      </c>
      <c r="C20" s="34" t="s">
        <v>150</v>
      </c>
      <c r="D20" s="14" t="s">
        <v>36</v>
      </c>
    </row>
    <row r="21" spans="1:4" ht="45" customHeight="1" x14ac:dyDescent="0.2">
      <c r="A21" s="34" t="s">
        <v>151</v>
      </c>
      <c r="B21" s="282" t="s">
        <v>165</v>
      </c>
      <c r="C21" s="279"/>
      <c r="D21" s="280"/>
    </row>
    <row r="22" spans="1:4" ht="45" customHeight="1" x14ac:dyDescent="0.2">
      <c r="A22" s="34" t="s">
        <v>153</v>
      </c>
      <c r="B22" s="282" t="s">
        <v>166</v>
      </c>
      <c r="C22" s="279"/>
      <c r="D22" s="280"/>
    </row>
    <row r="23" spans="1:4" ht="54" customHeight="1" x14ac:dyDescent="0.2">
      <c r="A23" s="34" t="s">
        <v>155</v>
      </c>
      <c r="B23" s="282" t="s">
        <v>167</v>
      </c>
      <c r="C23" s="279"/>
      <c r="D23" s="280"/>
    </row>
    <row r="24" spans="1:4" x14ac:dyDescent="0.2">
      <c r="A24" s="35"/>
      <c r="B24" s="36"/>
    </row>
    <row r="25" spans="1:4" ht="18" customHeight="1" x14ac:dyDescent="0.2">
      <c r="A25" s="281" t="s">
        <v>168</v>
      </c>
      <c r="B25" s="277"/>
      <c r="C25" s="271"/>
      <c r="D25" s="271"/>
    </row>
    <row r="26" spans="1:4" x14ac:dyDescent="0.2">
      <c r="A26" s="34" t="s">
        <v>145</v>
      </c>
      <c r="B26" s="17" t="s">
        <v>55</v>
      </c>
      <c r="C26" s="34" t="s">
        <v>146</v>
      </c>
      <c r="D26" s="14" t="s">
        <v>56</v>
      </c>
    </row>
    <row r="27" spans="1:4" x14ac:dyDescent="0.2">
      <c r="A27" s="34" t="s">
        <v>148</v>
      </c>
      <c r="B27" s="37" t="s">
        <v>149</v>
      </c>
      <c r="C27" s="34" t="s">
        <v>150</v>
      </c>
      <c r="D27" s="14" t="s">
        <v>54</v>
      </c>
    </row>
    <row r="28" spans="1:4" ht="45" customHeight="1" x14ac:dyDescent="0.2">
      <c r="A28" s="34" t="s">
        <v>151</v>
      </c>
      <c r="B28" s="278" t="s">
        <v>169</v>
      </c>
      <c r="C28" s="279"/>
      <c r="D28" s="280"/>
    </row>
    <row r="29" spans="1:4" ht="45" customHeight="1" x14ac:dyDescent="0.2">
      <c r="A29" s="34" t="s">
        <v>153</v>
      </c>
      <c r="B29" s="278" t="s">
        <v>170</v>
      </c>
      <c r="C29" s="279"/>
      <c r="D29" s="280"/>
    </row>
    <row r="30" spans="1:4" ht="45" customHeight="1" x14ac:dyDescent="0.2">
      <c r="A30" s="34" t="s">
        <v>155</v>
      </c>
      <c r="B30" s="278" t="s">
        <v>171</v>
      </c>
      <c r="C30" s="279"/>
      <c r="D30" s="280"/>
    </row>
    <row r="32" spans="1:4" ht="18" customHeight="1" x14ac:dyDescent="0.2">
      <c r="A32" s="281" t="s">
        <v>172</v>
      </c>
      <c r="B32" s="277"/>
      <c r="C32" s="271"/>
      <c r="D32" s="271"/>
    </row>
    <row r="33" spans="1:4" x14ac:dyDescent="0.2">
      <c r="A33" s="34" t="s">
        <v>145</v>
      </c>
      <c r="B33" s="14" t="s">
        <v>68</v>
      </c>
      <c r="C33" s="34" t="s">
        <v>146</v>
      </c>
      <c r="D33" s="14" t="s">
        <v>69</v>
      </c>
    </row>
    <row r="34" spans="1:4" x14ac:dyDescent="0.2">
      <c r="A34" s="34" t="s">
        <v>148</v>
      </c>
      <c r="B34" s="14" t="s">
        <v>160</v>
      </c>
      <c r="C34" s="34" t="s">
        <v>150</v>
      </c>
      <c r="D34" s="14" t="s">
        <v>67</v>
      </c>
    </row>
    <row r="35" spans="1:4" ht="45" customHeight="1" x14ac:dyDescent="0.2">
      <c r="A35" s="34" t="s">
        <v>151</v>
      </c>
      <c r="B35" s="278" t="s">
        <v>173</v>
      </c>
      <c r="C35" s="279"/>
      <c r="D35" s="280"/>
    </row>
    <row r="36" spans="1:4" ht="56" customHeight="1" x14ac:dyDescent="0.2">
      <c r="A36" s="34" t="s">
        <v>153</v>
      </c>
      <c r="B36" s="278" t="s">
        <v>174</v>
      </c>
      <c r="C36" s="279"/>
      <c r="D36" s="280"/>
    </row>
    <row r="37" spans="1:4" ht="45" customHeight="1" x14ac:dyDescent="0.2">
      <c r="A37" s="34" t="s">
        <v>155</v>
      </c>
      <c r="B37" s="278" t="s">
        <v>175</v>
      </c>
      <c r="C37" s="279"/>
      <c r="D37" s="280"/>
    </row>
    <row r="39" spans="1:4" ht="30" customHeight="1" x14ac:dyDescent="0.2">
      <c r="A39" s="67" t="s">
        <v>176</v>
      </c>
    </row>
    <row r="40" spans="1:4" x14ac:dyDescent="0.2">
      <c r="A40" s="34" t="s">
        <v>145</v>
      </c>
      <c r="B40" s="14" t="s">
        <v>87</v>
      </c>
      <c r="C40" s="34" t="s">
        <v>146</v>
      </c>
      <c r="D40" s="14" t="s">
        <v>88</v>
      </c>
    </row>
    <row r="41" spans="1:4" x14ac:dyDescent="0.2">
      <c r="A41" s="34" t="s">
        <v>148</v>
      </c>
      <c r="B41" s="14" t="s">
        <v>149</v>
      </c>
      <c r="C41" s="34" t="s">
        <v>150</v>
      </c>
      <c r="D41" s="14" t="s">
        <v>83</v>
      </c>
    </row>
    <row r="42" spans="1:4" ht="182" customHeight="1" x14ac:dyDescent="0.2">
      <c r="A42" s="34" t="s">
        <v>151</v>
      </c>
      <c r="B42" s="66" t="s">
        <v>177</v>
      </c>
      <c r="C42" s="69"/>
      <c r="D42" s="70"/>
    </row>
    <row r="43" spans="1:4" ht="182" customHeight="1" x14ac:dyDescent="0.2">
      <c r="A43" s="34" t="s">
        <v>153</v>
      </c>
      <c r="B43" s="66" t="s">
        <v>178</v>
      </c>
      <c r="C43" s="69"/>
      <c r="D43" s="70"/>
    </row>
    <row r="44" spans="1:4" ht="56" customHeight="1" x14ac:dyDescent="0.2">
      <c r="A44" s="34" t="s">
        <v>155</v>
      </c>
      <c r="B44" s="66" t="s">
        <v>179</v>
      </c>
      <c r="C44" s="69"/>
      <c r="D44" s="70"/>
    </row>
  </sheetData>
  <mergeCells count="22">
    <mergeCell ref="B37:D37"/>
    <mergeCell ref="B9:D9"/>
    <mergeCell ref="B30:D30"/>
    <mergeCell ref="A11:D11"/>
    <mergeCell ref="B15:D15"/>
    <mergeCell ref="B14:D14"/>
    <mergeCell ref="B23:D23"/>
    <mergeCell ref="B29:D29"/>
    <mergeCell ref="B28:D28"/>
    <mergeCell ref="A1:D1"/>
    <mergeCell ref="B36:D36"/>
    <mergeCell ref="B35:D35"/>
    <mergeCell ref="A25:D25"/>
    <mergeCell ref="B7:D7"/>
    <mergeCell ref="B16:D16"/>
    <mergeCell ref="A18:D18"/>
    <mergeCell ref="B22:D22"/>
    <mergeCell ref="B21:D21"/>
    <mergeCell ref="A2:D2"/>
    <mergeCell ref="A32:D32"/>
    <mergeCell ref="A4:D4"/>
    <mergeCell ref="B8:D8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39"/>
  <sheetViews>
    <sheetView tabSelected="1" zoomScale="130" zoomScaleNormal="130" workbookViewId="0">
      <pane ySplit="8" topLeftCell="A22" activePane="bottomLeft" state="frozen"/>
      <selection pane="bottomLeft" activeCell="G39" sqref="G39"/>
    </sheetView>
  </sheetViews>
  <sheetFormatPr baseColWidth="10" defaultColWidth="10.6640625" defaultRowHeight="15" x14ac:dyDescent="0.2"/>
  <cols>
    <col min="1" max="1" width="8" style="29" customWidth="1"/>
    <col min="2" max="2" width="14" customWidth="1"/>
    <col min="3" max="3" width="36" style="29" customWidth="1"/>
    <col min="4" max="4" width="10" customWidth="1"/>
    <col min="5" max="5" width="17.6640625" customWidth="1"/>
    <col min="6" max="6" width="22" customWidth="1"/>
    <col min="7" max="7" width="14" customWidth="1"/>
    <col min="8" max="8" width="14.83203125" customWidth="1"/>
    <col min="9" max="9" width="14" customWidth="1"/>
    <col min="10" max="10" width="49" style="21" customWidth="1"/>
    <col min="11" max="11" width="29.33203125" bestFit="1" customWidth="1"/>
  </cols>
  <sheetData>
    <row r="1" spans="1:11" ht="27.75" customHeight="1" x14ac:dyDescent="0.2">
      <c r="A1" s="273" t="s">
        <v>180</v>
      </c>
      <c r="B1" s="270"/>
      <c r="C1" s="277"/>
      <c r="D1" s="270"/>
      <c r="E1" s="270"/>
      <c r="F1" s="270"/>
      <c r="G1" s="270"/>
      <c r="H1" s="270"/>
      <c r="I1" s="270"/>
      <c r="J1" s="272"/>
    </row>
    <row r="2" spans="1:11" ht="15" customHeight="1" x14ac:dyDescent="0.2">
      <c r="A2" s="269" t="s">
        <v>119</v>
      </c>
      <c r="B2" s="270"/>
      <c r="C2" s="277"/>
      <c r="D2" s="270"/>
      <c r="E2" s="270"/>
      <c r="F2" s="270"/>
      <c r="G2" s="270"/>
      <c r="H2" s="270"/>
      <c r="I2" s="270"/>
      <c r="J2" s="272"/>
    </row>
    <row r="3" spans="1:11" ht="24" customHeight="1" x14ac:dyDescent="0.2">
      <c r="A3" s="38"/>
      <c r="B3" s="39"/>
      <c r="E3" s="40"/>
      <c r="F3" s="41"/>
      <c r="G3" s="40"/>
    </row>
    <row r="4" spans="1:11" x14ac:dyDescent="0.2">
      <c r="A4" s="42" t="s">
        <v>2</v>
      </c>
      <c r="B4" s="5" t="s">
        <v>3</v>
      </c>
      <c r="C4" s="20"/>
      <c r="E4" s="4" t="s">
        <v>4</v>
      </c>
      <c r="F4" s="245">
        <v>46160</v>
      </c>
    </row>
    <row r="5" spans="1:11" ht="42" customHeight="1" x14ac:dyDescent="0.2">
      <c r="A5" s="4" t="s">
        <v>5</v>
      </c>
      <c r="B5" s="43" t="s">
        <v>6</v>
      </c>
      <c r="C5" s="44"/>
      <c r="D5" s="45"/>
      <c r="E5" s="4" t="s">
        <v>7</v>
      </c>
      <c r="F5" s="245">
        <v>46213</v>
      </c>
      <c r="G5" s="74"/>
    </row>
    <row r="6" spans="1:11" ht="27.75" customHeight="1" x14ac:dyDescent="0.2">
      <c r="A6" s="4" t="s">
        <v>8</v>
      </c>
      <c r="B6" s="43" t="s">
        <v>9</v>
      </c>
      <c r="C6" s="44"/>
      <c r="D6" s="45"/>
      <c r="E6" s="4" t="s">
        <v>12</v>
      </c>
      <c r="F6" s="246">
        <f>PSP!F7</f>
        <v>39</v>
      </c>
    </row>
    <row r="7" spans="1:11" x14ac:dyDescent="0.2">
      <c r="A7" s="46"/>
      <c r="B7" s="29"/>
      <c r="C7" s="44"/>
      <c r="D7" s="47"/>
      <c r="G7" s="74"/>
    </row>
    <row r="8" spans="1:11" x14ac:dyDescent="0.2">
      <c r="A8" s="8" t="s">
        <v>14</v>
      </c>
      <c r="B8" s="48" t="s">
        <v>15</v>
      </c>
      <c r="C8" s="68" t="s">
        <v>16</v>
      </c>
      <c r="D8" s="68" t="s">
        <v>18</v>
      </c>
      <c r="E8" s="71" t="s">
        <v>4</v>
      </c>
      <c r="F8" s="71" t="s">
        <v>181</v>
      </c>
      <c r="G8" s="71" t="s">
        <v>182</v>
      </c>
      <c r="H8" s="8" t="s">
        <v>183</v>
      </c>
      <c r="I8" s="8" t="s">
        <v>125</v>
      </c>
      <c r="J8" s="8" t="s">
        <v>184</v>
      </c>
    </row>
    <row r="9" spans="1:11" ht="42" customHeight="1" x14ac:dyDescent="0.2">
      <c r="A9" s="190">
        <v>1</v>
      </c>
      <c r="B9" s="49"/>
      <c r="C9" s="49" t="s">
        <v>22</v>
      </c>
      <c r="D9" s="50">
        <v>2</v>
      </c>
      <c r="E9" s="72">
        <v>46160</v>
      </c>
      <c r="F9" s="72">
        <v>46161</v>
      </c>
      <c r="G9" s="145">
        <v>46161</v>
      </c>
      <c r="H9" s="9">
        <f t="shared" ref="H9:H21" si="0">G9-F9</f>
        <v>0</v>
      </c>
      <c r="I9" s="75" t="s">
        <v>125</v>
      </c>
      <c r="J9" s="9"/>
    </row>
    <row r="10" spans="1:11" ht="42" customHeight="1" x14ac:dyDescent="0.2">
      <c r="A10" s="191">
        <v>2</v>
      </c>
      <c r="B10" s="14"/>
      <c r="C10" s="17" t="s">
        <v>25</v>
      </c>
      <c r="D10" s="51">
        <v>3</v>
      </c>
      <c r="E10" s="73">
        <v>46162</v>
      </c>
      <c r="F10" s="73">
        <v>46168</v>
      </c>
      <c r="G10" s="73">
        <v>46168</v>
      </c>
      <c r="H10" s="14">
        <f t="shared" si="0"/>
        <v>0</v>
      </c>
      <c r="I10" s="76" t="s">
        <v>125</v>
      </c>
      <c r="J10" s="14" t="s">
        <v>185</v>
      </c>
    </row>
    <row r="11" spans="1:11" ht="42" customHeight="1" x14ac:dyDescent="0.2">
      <c r="A11" s="192">
        <v>3</v>
      </c>
      <c r="B11" s="12" t="s">
        <v>27</v>
      </c>
      <c r="C11" s="12" t="s">
        <v>28</v>
      </c>
      <c r="D11" s="12">
        <v>1</v>
      </c>
      <c r="E11" s="78">
        <v>46169</v>
      </c>
      <c r="F11" s="78">
        <v>46169</v>
      </c>
      <c r="G11" s="78">
        <v>46169</v>
      </c>
      <c r="H11" s="12">
        <f t="shared" si="0"/>
        <v>0</v>
      </c>
      <c r="I11" s="77" t="s">
        <v>125</v>
      </c>
      <c r="J11" s="12" t="s">
        <v>186</v>
      </c>
    </row>
    <row r="12" spans="1:11" ht="20" customHeight="1" thickBot="1" x14ac:dyDescent="0.25">
      <c r="A12" s="193">
        <v>4</v>
      </c>
      <c r="B12" s="80" t="s">
        <v>30</v>
      </c>
      <c r="C12" s="81" t="s">
        <v>31</v>
      </c>
      <c r="D12" s="81"/>
      <c r="E12" s="82">
        <v>46169</v>
      </c>
      <c r="F12" s="82">
        <v>46169</v>
      </c>
      <c r="G12" s="82">
        <v>46169</v>
      </c>
      <c r="H12" s="81">
        <f t="shared" si="0"/>
        <v>0</v>
      </c>
      <c r="I12" s="83" t="s">
        <v>125</v>
      </c>
      <c r="J12" s="81"/>
    </row>
    <row r="13" spans="1:11" ht="38" customHeight="1" x14ac:dyDescent="0.2">
      <c r="A13" s="194">
        <v>5</v>
      </c>
      <c r="B13" s="119" t="s">
        <v>33</v>
      </c>
      <c r="C13" s="119" t="s">
        <v>34</v>
      </c>
      <c r="D13" s="120">
        <v>7</v>
      </c>
      <c r="E13" s="121">
        <v>46170</v>
      </c>
      <c r="F13" s="121">
        <v>46176</v>
      </c>
      <c r="G13" s="121">
        <v>46179</v>
      </c>
      <c r="H13" s="120">
        <f t="shared" si="0"/>
        <v>3</v>
      </c>
      <c r="I13" s="122" t="s">
        <v>125</v>
      </c>
      <c r="J13" s="123" t="s">
        <v>187</v>
      </c>
    </row>
    <row r="14" spans="1:11" ht="60" customHeight="1" x14ac:dyDescent="0.2">
      <c r="A14" s="195">
        <v>6</v>
      </c>
      <c r="B14" s="105" t="s">
        <v>38</v>
      </c>
      <c r="C14" s="135" t="s">
        <v>188</v>
      </c>
      <c r="D14" s="105">
        <v>3</v>
      </c>
      <c r="E14" s="133">
        <v>46170</v>
      </c>
      <c r="F14" s="133">
        <v>46174</v>
      </c>
      <c r="G14" s="133">
        <v>46178</v>
      </c>
      <c r="H14" s="105">
        <f t="shared" si="0"/>
        <v>4</v>
      </c>
      <c r="I14" s="134" t="s">
        <v>125</v>
      </c>
      <c r="J14" s="139" t="s">
        <v>189</v>
      </c>
      <c r="K14" s="79" t="s">
        <v>37</v>
      </c>
    </row>
    <row r="15" spans="1:11" ht="32" customHeight="1" x14ac:dyDescent="0.2">
      <c r="A15" s="197">
        <v>6</v>
      </c>
      <c r="B15" s="126" t="s">
        <v>158</v>
      </c>
      <c r="C15" s="84" t="s">
        <v>190</v>
      </c>
      <c r="D15" s="126">
        <v>2</v>
      </c>
      <c r="E15" s="124">
        <v>46181</v>
      </c>
      <c r="F15" s="124">
        <v>46183</v>
      </c>
      <c r="G15" s="125">
        <v>46184</v>
      </c>
      <c r="H15" s="98">
        <f t="shared" si="0"/>
        <v>1</v>
      </c>
      <c r="I15" s="127" t="s">
        <v>125</v>
      </c>
      <c r="J15" s="85" t="s">
        <v>191</v>
      </c>
      <c r="K15" s="79" t="s">
        <v>37</v>
      </c>
    </row>
    <row r="16" spans="1:11" ht="28" customHeight="1" x14ac:dyDescent="0.2">
      <c r="A16" s="196">
        <v>7</v>
      </c>
      <c r="B16" s="131" t="s">
        <v>41</v>
      </c>
      <c r="C16" s="131" t="s">
        <v>192</v>
      </c>
      <c r="D16" s="114">
        <v>1</v>
      </c>
      <c r="E16" s="132">
        <v>46185</v>
      </c>
      <c r="F16" s="132">
        <v>46185</v>
      </c>
      <c r="G16" s="133">
        <v>46186</v>
      </c>
      <c r="H16" s="105">
        <f t="shared" si="0"/>
        <v>1</v>
      </c>
      <c r="I16" s="134" t="s">
        <v>125</v>
      </c>
      <c r="J16" s="115" t="s">
        <v>193</v>
      </c>
      <c r="K16" t="s">
        <v>194</v>
      </c>
    </row>
    <row r="17" spans="1:11" ht="28" customHeight="1" x14ac:dyDescent="0.2">
      <c r="A17" s="197">
        <v>8</v>
      </c>
      <c r="B17" s="128" t="s">
        <v>45</v>
      </c>
      <c r="C17" s="128" t="s">
        <v>195</v>
      </c>
      <c r="D17" s="101">
        <v>1</v>
      </c>
      <c r="E17" s="129">
        <v>46186</v>
      </c>
      <c r="F17" s="129">
        <v>46186</v>
      </c>
      <c r="G17" s="125">
        <v>46188</v>
      </c>
      <c r="H17" s="98">
        <f t="shared" si="0"/>
        <v>2</v>
      </c>
      <c r="I17" s="130" t="s">
        <v>125</v>
      </c>
      <c r="J17" s="102" t="s">
        <v>196</v>
      </c>
      <c r="K17" t="s">
        <v>194</v>
      </c>
    </row>
    <row r="18" spans="1:11" ht="29" customHeight="1" thickBot="1" x14ac:dyDescent="0.25">
      <c r="A18" s="198">
        <v>9</v>
      </c>
      <c r="B18" s="117" t="s">
        <v>48</v>
      </c>
      <c r="C18" s="117" t="s">
        <v>49</v>
      </c>
      <c r="D18" s="116"/>
      <c r="E18" s="136">
        <v>46188</v>
      </c>
      <c r="F18" s="137">
        <v>46188</v>
      </c>
      <c r="G18" s="137">
        <v>46188</v>
      </c>
      <c r="H18" s="116">
        <f t="shared" si="0"/>
        <v>0</v>
      </c>
      <c r="I18" s="138" t="s">
        <v>125</v>
      </c>
      <c r="J18" s="118" t="s">
        <v>197</v>
      </c>
      <c r="K18" t="s">
        <v>194</v>
      </c>
    </row>
    <row r="19" spans="1:11" ht="18" customHeight="1" x14ac:dyDescent="0.2">
      <c r="A19" s="199">
        <v>10</v>
      </c>
      <c r="B19" s="140" t="s">
        <v>51</v>
      </c>
      <c r="C19" s="140" t="s">
        <v>198</v>
      </c>
      <c r="D19" s="109">
        <v>5</v>
      </c>
      <c r="E19" s="141">
        <v>46188</v>
      </c>
      <c r="F19" s="141">
        <v>46192</v>
      </c>
      <c r="G19" s="142">
        <v>46190</v>
      </c>
      <c r="H19" s="109">
        <f t="shared" si="0"/>
        <v>-2</v>
      </c>
      <c r="I19" s="146" t="s">
        <v>125</v>
      </c>
      <c r="J19" s="110"/>
      <c r="K19" t="s">
        <v>194</v>
      </c>
    </row>
    <row r="20" spans="1:11" ht="28" customHeight="1" x14ac:dyDescent="0.2">
      <c r="A20" s="196">
        <v>11</v>
      </c>
      <c r="B20" s="131" t="s">
        <v>55</v>
      </c>
      <c r="C20" s="131" t="s">
        <v>56</v>
      </c>
      <c r="D20" s="114">
        <v>3</v>
      </c>
      <c r="E20" s="132">
        <v>46188</v>
      </c>
      <c r="F20" s="132">
        <v>46190</v>
      </c>
      <c r="G20" s="132">
        <v>46189</v>
      </c>
      <c r="H20" s="105">
        <f t="shared" si="0"/>
        <v>-1</v>
      </c>
      <c r="I20" s="134" t="s">
        <v>125</v>
      </c>
      <c r="J20" s="115" t="s">
        <v>199</v>
      </c>
      <c r="K20" t="s">
        <v>194</v>
      </c>
    </row>
    <row r="21" spans="1:11" ht="18" customHeight="1" x14ac:dyDescent="0.2">
      <c r="A21" s="200">
        <v>12</v>
      </c>
      <c r="B21" s="112" t="s">
        <v>58</v>
      </c>
      <c r="C21" s="112" t="s">
        <v>59</v>
      </c>
      <c r="D21" s="111">
        <v>2</v>
      </c>
      <c r="E21" s="144">
        <v>46191</v>
      </c>
      <c r="F21" s="144">
        <v>46192</v>
      </c>
      <c r="G21" s="144">
        <v>46190</v>
      </c>
      <c r="H21" s="143">
        <f t="shared" si="0"/>
        <v>-2</v>
      </c>
      <c r="I21" s="147" t="s">
        <v>125</v>
      </c>
      <c r="J21" s="113" t="s">
        <v>200</v>
      </c>
      <c r="K21" t="s">
        <v>194</v>
      </c>
    </row>
    <row r="22" spans="1:11" ht="29" customHeight="1" thickBot="1" x14ac:dyDescent="0.25">
      <c r="A22" s="198">
        <v>13</v>
      </c>
      <c r="B22" s="117" t="s">
        <v>61</v>
      </c>
      <c r="C22" s="117" t="s">
        <v>201</v>
      </c>
      <c r="D22" s="116"/>
      <c r="E22" s="137">
        <v>46190</v>
      </c>
      <c r="F22" s="137">
        <v>46190</v>
      </c>
      <c r="G22" s="137">
        <v>46190</v>
      </c>
      <c r="H22" s="116">
        <f t="shared" ref="H22:H39" si="1">IF(G22=FALSE,"unerledigt",G22-F22)</f>
        <v>0</v>
      </c>
      <c r="I22" s="138" t="s">
        <v>125</v>
      </c>
      <c r="J22" s="118" t="s">
        <v>202</v>
      </c>
      <c r="K22" t="s">
        <v>194</v>
      </c>
    </row>
    <row r="23" spans="1:11" ht="18" customHeight="1" x14ac:dyDescent="0.2">
      <c r="A23" s="201">
        <v>14</v>
      </c>
      <c r="B23" s="149" t="s">
        <v>64</v>
      </c>
      <c r="C23" s="150" t="s">
        <v>203</v>
      </c>
      <c r="D23" s="150">
        <v>5</v>
      </c>
      <c r="E23" s="151">
        <v>46191</v>
      </c>
      <c r="F23" s="151">
        <v>46197</v>
      </c>
      <c r="G23" s="151">
        <v>46196</v>
      </c>
      <c r="H23" s="150">
        <f t="shared" si="1"/>
        <v>-1</v>
      </c>
      <c r="I23" s="257" t="s">
        <v>125</v>
      </c>
      <c r="J23" s="152"/>
      <c r="K23" t="s">
        <v>194</v>
      </c>
    </row>
    <row r="24" spans="1:11" ht="18" customHeight="1" x14ac:dyDescent="0.2">
      <c r="A24" s="195">
        <v>15</v>
      </c>
      <c r="B24" s="135" t="s">
        <v>68</v>
      </c>
      <c r="C24" s="135" t="s">
        <v>69</v>
      </c>
      <c r="D24" s="105">
        <v>2</v>
      </c>
      <c r="E24" s="133">
        <v>46191</v>
      </c>
      <c r="F24" s="133">
        <v>46192</v>
      </c>
      <c r="G24" s="133">
        <v>46191</v>
      </c>
      <c r="H24" s="105">
        <f t="shared" si="1"/>
        <v>-1</v>
      </c>
      <c r="I24" s="134" t="s">
        <v>125</v>
      </c>
      <c r="J24" s="106" t="s">
        <v>204</v>
      </c>
      <c r="K24" t="s">
        <v>194</v>
      </c>
    </row>
    <row r="25" spans="1:11" ht="18" customHeight="1" x14ac:dyDescent="0.2">
      <c r="A25" s="202">
        <v>16</v>
      </c>
      <c r="B25" s="153" t="s">
        <v>71</v>
      </c>
      <c r="C25" s="153" t="s">
        <v>72</v>
      </c>
      <c r="D25" s="154">
        <v>1</v>
      </c>
      <c r="E25" s="155">
        <v>46195</v>
      </c>
      <c r="F25" s="155">
        <v>46195</v>
      </c>
      <c r="G25" s="155">
        <v>46195</v>
      </c>
      <c r="H25" s="247">
        <f t="shared" si="1"/>
        <v>0</v>
      </c>
      <c r="I25" s="258" t="s">
        <v>125</v>
      </c>
      <c r="J25" s="156" t="s">
        <v>205</v>
      </c>
      <c r="K25" t="s">
        <v>194</v>
      </c>
    </row>
    <row r="26" spans="1:11" ht="18" customHeight="1" x14ac:dyDescent="0.2">
      <c r="A26" s="203">
        <v>17</v>
      </c>
      <c r="B26" s="161" t="s">
        <v>74</v>
      </c>
      <c r="C26" s="161" t="s">
        <v>75</v>
      </c>
      <c r="D26" s="107">
        <v>2</v>
      </c>
      <c r="E26" s="162">
        <v>46196</v>
      </c>
      <c r="F26" s="162">
        <v>46197</v>
      </c>
      <c r="G26" s="162">
        <v>46196</v>
      </c>
      <c r="H26" s="105">
        <f t="shared" si="1"/>
        <v>-1</v>
      </c>
      <c r="I26" s="134" t="s">
        <v>125</v>
      </c>
      <c r="J26" s="108" t="s">
        <v>206</v>
      </c>
      <c r="K26" t="s">
        <v>194</v>
      </c>
    </row>
    <row r="27" spans="1:11" ht="18" customHeight="1" thickBot="1" x14ac:dyDescent="0.25">
      <c r="A27" s="204">
        <v>18</v>
      </c>
      <c r="B27" s="157" t="s">
        <v>77</v>
      </c>
      <c r="C27" s="157" t="s">
        <v>78</v>
      </c>
      <c r="D27" s="158"/>
      <c r="E27" s="159">
        <v>46191</v>
      </c>
      <c r="F27" s="159">
        <v>46197</v>
      </c>
      <c r="G27" s="159">
        <v>46196</v>
      </c>
      <c r="H27" s="158">
        <f t="shared" si="1"/>
        <v>-1</v>
      </c>
      <c r="I27" s="259" t="s">
        <v>125</v>
      </c>
      <c r="J27" s="160"/>
      <c r="K27" t="s">
        <v>194</v>
      </c>
    </row>
    <row r="28" spans="1:11" ht="18" customHeight="1" x14ac:dyDescent="0.2">
      <c r="A28" s="205">
        <v>19</v>
      </c>
      <c r="B28" s="163" t="s">
        <v>80</v>
      </c>
      <c r="C28" s="163" t="s">
        <v>81</v>
      </c>
      <c r="D28" s="164">
        <v>5</v>
      </c>
      <c r="E28" s="165">
        <v>46197</v>
      </c>
      <c r="F28" s="165">
        <v>46203</v>
      </c>
      <c r="G28" s="250">
        <v>46198</v>
      </c>
      <c r="H28" s="251">
        <f t="shared" si="1"/>
        <v>-5</v>
      </c>
      <c r="I28" s="260" t="s">
        <v>125</v>
      </c>
      <c r="J28" s="166"/>
      <c r="K28" t="s">
        <v>194</v>
      </c>
    </row>
    <row r="29" spans="1:11" ht="18" customHeight="1" x14ac:dyDescent="0.2">
      <c r="A29" s="196">
        <v>20</v>
      </c>
      <c r="B29" s="131" t="s">
        <v>84</v>
      </c>
      <c r="C29" s="131" t="s">
        <v>85</v>
      </c>
      <c r="D29" s="114">
        <v>2</v>
      </c>
      <c r="E29" s="132">
        <v>46197</v>
      </c>
      <c r="F29" s="248">
        <v>46198</v>
      </c>
      <c r="G29" s="254">
        <v>46197</v>
      </c>
      <c r="H29" s="5">
        <f t="shared" si="1"/>
        <v>-1</v>
      </c>
      <c r="I29" s="261" t="s">
        <v>125</v>
      </c>
      <c r="J29" s="115" t="s">
        <v>207</v>
      </c>
      <c r="K29" t="s">
        <v>194</v>
      </c>
    </row>
    <row r="30" spans="1:11" ht="18" customHeight="1" x14ac:dyDescent="0.2">
      <c r="A30" s="206">
        <v>21</v>
      </c>
      <c r="B30" s="167" t="s">
        <v>87</v>
      </c>
      <c r="C30" s="167" t="s">
        <v>88</v>
      </c>
      <c r="D30" s="168">
        <v>3</v>
      </c>
      <c r="E30" s="169">
        <v>46199</v>
      </c>
      <c r="F30" s="249">
        <v>46203</v>
      </c>
      <c r="G30" s="255">
        <v>46198</v>
      </c>
      <c r="H30" s="256">
        <f t="shared" si="1"/>
        <v>-5</v>
      </c>
      <c r="I30" s="262" t="s">
        <v>125</v>
      </c>
      <c r="J30" s="170" t="s">
        <v>208</v>
      </c>
      <c r="K30" t="s">
        <v>194</v>
      </c>
    </row>
    <row r="31" spans="1:11" ht="18" customHeight="1" thickBot="1" x14ac:dyDescent="0.25">
      <c r="A31" s="198">
        <v>22</v>
      </c>
      <c r="B31" s="117" t="s">
        <v>90</v>
      </c>
      <c r="C31" s="117" t="s">
        <v>91</v>
      </c>
      <c r="D31" s="116"/>
      <c r="E31" s="137">
        <v>46203</v>
      </c>
      <c r="F31" s="137">
        <v>46203</v>
      </c>
      <c r="G31" s="252">
        <v>46198</v>
      </c>
      <c r="H31" s="253">
        <f t="shared" si="1"/>
        <v>-5</v>
      </c>
      <c r="I31" s="138" t="s">
        <v>125</v>
      </c>
      <c r="J31" s="118"/>
      <c r="K31" t="s">
        <v>194</v>
      </c>
    </row>
    <row r="32" spans="1:11" ht="18" customHeight="1" x14ac:dyDescent="0.2">
      <c r="A32" s="207">
        <v>23</v>
      </c>
      <c r="B32" s="171" t="s">
        <v>93</v>
      </c>
      <c r="C32" s="171" t="s">
        <v>94</v>
      </c>
      <c r="D32" s="172">
        <v>5</v>
      </c>
      <c r="E32" s="173">
        <v>46204</v>
      </c>
      <c r="F32" s="173">
        <v>46210</v>
      </c>
      <c r="G32" s="173">
        <v>46209</v>
      </c>
      <c r="H32" s="174">
        <f t="shared" si="1"/>
        <v>-1</v>
      </c>
      <c r="I32" s="263" t="s">
        <v>125</v>
      </c>
      <c r="J32" s="175"/>
      <c r="K32" t="s">
        <v>298</v>
      </c>
    </row>
    <row r="33" spans="1:11" ht="18" customHeight="1" x14ac:dyDescent="0.2">
      <c r="A33" s="196">
        <v>24</v>
      </c>
      <c r="B33" s="131" t="s">
        <v>97</v>
      </c>
      <c r="C33" s="131" t="s">
        <v>98</v>
      </c>
      <c r="D33" s="114">
        <v>2</v>
      </c>
      <c r="E33" s="132">
        <v>46204</v>
      </c>
      <c r="F33" s="132">
        <v>46205</v>
      </c>
      <c r="G33" s="132">
        <v>46204</v>
      </c>
      <c r="H33" s="105">
        <f t="shared" si="1"/>
        <v>-1</v>
      </c>
      <c r="I33" s="134" t="s">
        <v>125</v>
      </c>
      <c r="J33" s="115" t="s">
        <v>209</v>
      </c>
      <c r="K33" t="s">
        <v>298</v>
      </c>
    </row>
    <row r="34" spans="1:11" ht="28" x14ac:dyDescent="0.2">
      <c r="A34" s="208">
        <v>25</v>
      </c>
      <c r="B34" s="177" t="s">
        <v>100</v>
      </c>
      <c r="C34" s="177" t="s">
        <v>101</v>
      </c>
      <c r="D34" s="178">
        <v>3</v>
      </c>
      <c r="E34" s="179">
        <v>46206</v>
      </c>
      <c r="F34" s="179">
        <v>46210</v>
      </c>
      <c r="G34" s="179">
        <v>46209</v>
      </c>
      <c r="H34" s="176">
        <f t="shared" si="1"/>
        <v>-1</v>
      </c>
      <c r="I34" s="264" t="s">
        <v>125</v>
      </c>
      <c r="J34" s="265" t="s">
        <v>299</v>
      </c>
      <c r="K34" t="s">
        <v>298</v>
      </c>
    </row>
    <row r="35" spans="1:11" ht="18" customHeight="1" thickBot="1" x14ac:dyDescent="0.25">
      <c r="A35" s="198">
        <v>26</v>
      </c>
      <c r="B35" s="117" t="s">
        <v>103</v>
      </c>
      <c r="C35" s="117" t="s">
        <v>104</v>
      </c>
      <c r="D35" s="116"/>
      <c r="E35" s="137">
        <v>46210</v>
      </c>
      <c r="F35" s="137">
        <v>46210</v>
      </c>
      <c r="G35" s="137">
        <v>46209</v>
      </c>
      <c r="H35" s="116">
        <f t="shared" si="1"/>
        <v>-1</v>
      </c>
      <c r="I35" s="138" t="s">
        <v>125</v>
      </c>
      <c r="J35" s="118"/>
      <c r="K35" t="s">
        <v>298</v>
      </c>
    </row>
    <row r="36" spans="1:11" ht="18" customHeight="1" x14ac:dyDescent="0.2">
      <c r="A36" s="209">
        <v>27</v>
      </c>
      <c r="B36" s="180" t="s">
        <v>106</v>
      </c>
      <c r="C36" s="180" t="s">
        <v>107</v>
      </c>
      <c r="D36" s="180">
        <v>3</v>
      </c>
      <c r="E36" s="181">
        <v>46210</v>
      </c>
      <c r="F36" s="181">
        <v>46211</v>
      </c>
      <c r="G36" s="181">
        <v>46211</v>
      </c>
      <c r="H36" s="182">
        <f t="shared" si="1"/>
        <v>0</v>
      </c>
      <c r="I36" s="266" t="s">
        <v>125</v>
      </c>
      <c r="J36" s="180" t="s">
        <v>210</v>
      </c>
    </row>
    <row r="37" spans="1:11" ht="16" customHeight="1" x14ac:dyDescent="0.2">
      <c r="A37" s="210">
        <v>28</v>
      </c>
      <c r="B37" s="183" t="s">
        <v>109</v>
      </c>
      <c r="C37" s="183" t="s">
        <v>110</v>
      </c>
      <c r="D37" s="183">
        <v>1</v>
      </c>
      <c r="E37" s="184">
        <v>46212</v>
      </c>
      <c r="F37" s="184">
        <v>46212</v>
      </c>
      <c r="G37" s="184">
        <v>46212</v>
      </c>
      <c r="H37" s="185">
        <f t="shared" si="1"/>
        <v>0</v>
      </c>
      <c r="I37" s="267" t="s">
        <v>125</v>
      </c>
      <c r="J37" s="183"/>
    </row>
    <row r="38" spans="1:11" ht="16" customHeight="1" x14ac:dyDescent="0.2">
      <c r="A38" s="211">
        <v>29</v>
      </c>
      <c r="B38" s="187" t="s">
        <v>112</v>
      </c>
      <c r="C38" s="186" t="s">
        <v>113</v>
      </c>
      <c r="D38" s="187"/>
      <c r="E38" s="188">
        <v>46212</v>
      </c>
      <c r="F38" s="188">
        <v>46212</v>
      </c>
      <c r="G38" s="188">
        <v>46212</v>
      </c>
      <c r="H38" s="185">
        <f t="shared" si="1"/>
        <v>0</v>
      </c>
      <c r="I38" s="268" t="s">
        <v>125</v>
      </c>
      <c r="J38" s="189" t="s">
        <v>211</v>
      </c>
    </row>
    <row r="39" spans="1:11" ht="16" customHeight="1" x14ac:dyDescent="0.2">
      <c r="A39" s="211">
        <v>30</v>
      </c>
      <c r="B39" s="187" t="s">
        <v>115</v>
      </c>
      <c r="C39" s="186" t="s">
        <v>116</v>
      </c>
      <c r="D39" s="187"/>
      <c r="E39" s="188">
        <v>46213</v>
      </c>
      <c r="F39" s="188">
        <v>46213</v>
      </c>
      <c r="G39" s="188">
        <v>46213</v>
      </c>
      <c r="H39" s="185">
        <f t="shared" si="1"/>
        <v>0</v>
      </c>
      <c r="I39" s="268" t="s">
        <v>125</v>
      </c>
      <c r="J39" s="189" t="s">
        <v>212</v>
      </c>
    </row>
  </sheetData>
  <mergeCells count="2">
    <mergeCell ref="A1:J1"/>
    <mergeCell ref="A2:J2"/>
  </mergeCells>
  <conditionalFormatting sqref="D9">
    <cfRule type="cellIs" dxfId="5" priority="3" operator="lessThan">
      <formula>$D$8</formula>
    </cfRule>
    <cfRule type="cellIs" dxfId="4" priority="4" operator="equal">
      <formula>$D$8</formula>
    </cfRule>
    <cfRule type="cellIs" dxfId="3" priority="5" operator="greaterThan">
      <formula>$D$8</formula>
    </cfRule>
  </conditionalFormatting>
  <conditionalFormatting sqref="D10">
    <cfRule type="expression" dxfId="2" priority="11">
      <formula>$D$9-$D$8&lt;0</formula>
    </cfRule>
    <cfRule type="expression" dxfId="1" priority="12">
      <formula>$D$9-$D$8=0</formula>
    </cfRule>
    <cfRule type="expression" dxfId="0" priority="13">
      <formula>$D$9-$D$8&gt;0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47"/>
  <sheetViews>
    <sheetView zoomScale="140" zoomScaleNormal="140" workbookViewId="0">
      <pane ySplit="4" topLeftCell="A5" activePane="bottomLeft" state="frozen"/>
      <selection pane="bottomLeft" activeCell="A5" sqref="A5:XFD5"/>
    </sheetView>
  </sheetViews>
  <sheetFormatPr baseColWidth="10" defaultColWidth="11.5" defaultRowHeight="15" x14ac:dyDescent="0.2"/>
  <cols>
    <col min="1" max="1" width="6" style="29" customWidth="1"/>
    <col min="2" max="2" width="42.5" style="52" customWidth="1"/>
    <col min="3" max="3" width="14" style="29" customWidth="1"/>
    <col min="4" max="5" width="14" style="52" customWidth="1"/>
    <col min="6" max="6" width="32" style="52" customWidth="1"/>
    <col min="7" max="7" width="11.5" style="52" customWidth="1"/>
    <col min="8" max="10" width="11.5" style="29" customWidth="1"/>
    <col min="11" max="16384" width="11.5" style="29"/>
  </cols>
  <sheetData>
    <row r="1" spans="1:6" ht="27.75" customHeight="1" x14ac:dyDescent="0.2">
      <c r="A1" s="284" t="s">
        <v>213</v>
      </c>
      <c r="B1" s="283"/>
      <c r="C1" s="277"/>
      <c r="D1" s="283"/>
      <c r="E1" s="283"/>
      <c r="F1" s="283"/>
    </row>
    <row r="2" spans="1:6" ht="15" customHeight="1" x14ac:dyDescent="0.2">
      <c r="A2" s="269" t="s">
        <v>143</v>
      </c>
      <c r="B2" s="283"/>
      <c r="C2" s="277"/>
      <c r="D2" s="283"/>
      <c r="E2" s="283"/>
      <c r="F2" s="283"/>
    </row>
    <row r="3" spans="1:6" ht="24.75" customHeight="1" x14ac:dyDescent="0.2">
      <c r="A3" s="38"/>
      <c r="B3" s="53"/>
      <c r="D3" s="54"/>
      <c r="E3" s="54"/>
    </row>
    <row r="4" spans="1:6" x14ac:dyDescent="0.2">
      <c r="A4" s="48" t="s">
        <v>120</v>
      </c>
      <c r="B4" s="8" t="s">
        <v>214</v>
      </c>
      <c r="C4" s="8" t="s">
        <v>215</v>
      </c>
      <c r="D4" s="8" t="s">
        <v>216</v>
      </c>
      <c r="E4" s="8" t="s">
        <v>217</v>
      </c>
      <c r="F4" s="8" t="s">
        <v>184</v>
      </c>
    </row>
    <row r="5" spans="1:6" ht="28" customHeight="1" x14ac:dyDescent="0.2">
      <c r="A5" s="49">
        <v>1</v>
      </c>
      <c r="B5" s="49" t="s">
        <v>218</v>
      </c>
      <c r="C5" s="9" t="s">
        <v>219</v>
      </c>
      <c r="D5" s="9"/>
      <c r="E5" s="28" t="s">
        <v>137</v>
      </c>
      <c r="F5" s="9" t="s">
        <v>220</v>
      </c>
    </row>
    <row r="6" spans="1:6" ht="27.75" customHeight="1" x14ac:dyDescent="0.2">
      <c r="A6" s="17">
        <v>2</v>
      </c>
      <c r="B6" s="17" t="s">
        <v>221</v>
      </c>
      <c r="C6" s="14" t="s">
        <v>219</v>
      </c>
      <c r="D6" s="14"/>
      <c r="E6" s="27" t="s">
        <v>222</v>
      </c>
      <c r="F6" s="14" t="s">
        <v>223</v>
      </c>
    </row>
    <row r="7" spans="1:6" ht="27.75" customHeight="1" x14ac:dyDescent="0.2">
      <c r="A7" s="49">
        <v>3</v>
      </c>
      <c r="B7" s="49" t="s">
        <v>224</v>
      </c>
      <c r="C7" s="9" t="s">
        <v>225</v>
      </c>
      <c r="D7" s="9"/>
      <c r="E7" s="28" t="s">
        <v>137</v>
      </c>
      <c r="F7" s="9" t="s">
        <v>226</v>
      </c>
    </row>
    <row r="8" spans="1:6" ht="28" customHeight="1" x14ac:dyDescent="0.2">
      <c r="A8" s="17">
        <v>4</v>
      </c>
      <c r="B8" s="17" t="s">
        <v>227</v>
      </c>
      <c r="C8" s="14" t="s">
        <v>228</v>
      </c>
      <c r="D8" s="14" t="s">
        <v>229</v>
      </c>
      <c r="E8" s="27" t="s">
        <v>222</v>
      </c>
      <c r="F8" s="14" t="s">
        <v>230</v>
      </c>
    </row>
    <row r="9" spans="1:6" ht="56" x14ac:dyDescent="0.2">
      <c r="A9" s="49">
        <v>5</v>
      </c>
      <c r="B9" s="49" t="s">
        <v>231</v>
      </c>
      <c r="C9" s="9" t="s">
        <v>228</v>
      </c>
      <c r="D9" s="9" t="s">
        <v>229</v>
      </c>
      <c r="E9" s="28" t="s">
        <v>232</v>
      </c>
      <c r="F9" s="9" t="s">
        <v>233</v>
      </c>
    </row>
    <row r="10" spans="1:6" ht="28" customHeight="1" x14ac:dyDescent="0.2">
      <c r="A10" s="14">
        <v>6</v>
      </c>
      <c r="B10" s="14" t="s">
        <v>234</v>
      </c>
      <c r="C10" s="14" t="s">
        <v>235</v>
      </c>
      <c r="D10" s="14" t="s">
        <v>236</v>
      </c>
      <c r="E10" s="27" t="s">
        <v>232</v>
      </c>
      <c r="F10" s="14" t="s">
        <v>237</v>
      </c>
    </row>
    <row r="11" spans="1:6" ht="56" x14ac:dyDescent="0.2">
      <c r="A11" s="49">
        <v>7</v>
      </c>
      <c r="B11" s="49" t="s">
        <v>238</v>
      </c>
      <c r="C11" s="49" t="s">
        <v>239</v>
      </c>
      <c r="D11" s="49" t="s">
        <v>236</v>
      </c>
      <c r="E11" s="55" t="s">
        <v>232</v>
      </c>
      <c r="F11" s="9" t="s">
        <v>240</v>
      </c>
    </row>
    <row r="12" spans="1:6" ht="27.75" customHeight="1" x14ac:dyDescent="0.2">
      <c r="A12" s="17">
        <v>8</v>
      </c>
      <c r="B12" s="17" t="s">
        <v>241</v>
      </c>
      <c r="C12" s="37" t="s">
        <v>242</v>
      </c>
      <c r="D12" s="17" t="s">
        <v>243</v>
      </c>
      <c r="E12" s="56" t="s">
        <v>222</v>
      </c>
      <c r="F12" s="14" t="s">
        <v>244</v>
      </c>
    </row>
    <row r="13" spans="1:6" ht="27.75" customHeight="1" x14ac:dyDescent="0.2">
      <c r="A13" s="49">
        <v>9</v>
      </c>
      <c r="B13" s="49" t="s">
        <v>245</v>
      </c>
      <c r="C13" s="11" t="s">
        <v>246</v>
      </c>
      <c r="D13" s="49"/>
      <c r="E13" s="55" t="s">
        <v>222</v>
      </c>
      <c r="F13" s="9" t="s">
        <v>247</v>
      </c>
    </row>
    <row r="14" spans="1:6" ht="27.75" customHeight="1" x14ac:dyDescent="0.2">
      <c r="A14" s="17">
        <v>10</v>
      </c>
      <c r="B14" s="17" t="s">
        <v>248</v>
      </c>
      <c r="C14" s="37" t="s">
        <v>246</v>
      </c>
      <c r="D14" s="14"/>
      <c r="E14" s="27" t="s">
        <v>222</v>
      </c>
      <c r="F14" s="14" t="s">
        <v>249</v>
      </c>
    </row>
    <row r="15" spans="1:6" ht="27.75" customHeight="1" x14ac:dyDescent="0.2">
      <c r="A15" s="9">
        <v>11</v>
      </c>
      <c r="B15" s="9" t="s">
        <v>250</v>
      </c>
      <c r="C15" s="11" t="s">
        <v>246</v>
      </c>
      <c r="D15" s="9"/>
      <c r="E15" s="28" t="s">
        <v>222</v>
      </c>
      <c r="F15" s="9" t="s">
        <v>251</v>
      </c>
    </row>
    <row r="16" spans="1:6" ht="27.75" customHeight="1" x14ac:dyDescent="0.2">
      <c r="A16" s="14">
        <v>12</v>
      </c>
      <c r="B16" s="14" t="s">
        <v>252</v>
      </c>
      <c r="C16" s="37" t="s">
        <v>253</v>
      </c>
      <c r="D16" s="14"/>
      <c r="E16" s="27" t="s">
        <v>222</v>
      </c>
      <c r="F16" s="14" t="s">
        <v>254</v>
      </c>
    </row>
    <row r="17" spans="1:6" ht="15.75" customHeight="1" x14ac:dyDescent="0.2">
      <c r="A17" s="9">
        <v>13</v>
      </c>
      <c r="B17" s="9" t="s">
        <v>255</v>
      </c>
      <c r="C17" s="11" t="s">
        <v>253</v>
      </c>
      <c r="D17" s="9"/>
      <c r="E17" s="28" t="s">
        <v>137</v>
      </c>
      <c r="F17" s="9" t="s">
        <v>256</v>
      </c>
    </row>
    <row r="18" spans="1:6" ht="28" customHeight="1" x14ac:dyDescent="0.2">
      <c r="A18" s="17">
        <v>14</v>
      </c>
      <c r="B18" s="17" t="s">
        <v>257</v>
      </c>
      <c r="C18" s="17" t="s">
        <v>253</v>
      </c>
      <c r="D18" s="17" t="s">
        <v>243</v>
      </c>
      <c r="E18" s="56" t="s">
        <v>222</v>
      </c>
      <c r="F18" s="17" t="s">
        <v>258</v>
      </c>
    </row>
    <row r="19" spans="1:6" ht="27.75" customHeight="1" x14ac:dyDescent="0.2">
      <c r="A19" s="49">
        <v>15</v>
      </c>
      <c r="B19" s="49" t="s">
        <v>259</v>
      </c>
      <c r="C19" s="9" t="s">
        <v>253</v>
      </c>
      <c r="D19" s="9"/>
      <c r="E19" s="28" t="s">
        <v>137</v>
      </c>
      <c r="F19" s="9" t="s">
        <v>260</v>
      </c>
    </row>
    <row r="20" spans="1:6" ht="32" customHeight="1" x14ac:dyDescent="0.2">
      <c r="A20" s="57">
        <v>16</v>
      </c>
      <c r="B20" s="58" t="s">
        <v>261</v>
      </c>
      <c r="C20" t="s">
        <v>262</v>
      </c>
      <c r="E20" t="s">
        <v>222</v>
      </c>
      <c r="F20" t="s">
        <v>263</v>
      </c>
    </row>
    <row r="21" spans="1:6" ht="15.75" customHeight="1" x14ac:dyDescent="0.2">
      <c r="A21" s="57">
        <v>17</v>
      </c>
      <c r="B21" s="59" t="s">
        <v>264</v>
      </c>
      <c r="C21" s="57" t="s">
        <v>265</v>
      </c>
      <c r="D21" s="60"/>
      <c r="E21" t="s">
        <v>137</v>
      </c>
      <c r="F21" s="59" t="s">
        <v>266</v>
      </c>
    </row>
    <row r="22" spans="1:6" ht="33.75" customHeight="1" x14ac:dyDescent="0.2">
      <c r="A22" s="29">
        <v>18</v>
      </c>
      <c r="B22" s="61" t="s">
        <v>267</v>
      </c>
      <c r="C22" s="29" t="s">
        <v>268</v>
      </c>
      <c r="D22" s="58"/>
      <c r="E22" t="s">
        <v>137</v>
      </c>
      <c r="F22" t="s">
        <v>269</v>
      </c>
    </row>
    <row r="23" spans="1:6" ht="29.25" customHeight="1" x14ac:dyDescent="0.2">
      <c r="A23" s="29">
        <v>19</v>
      </c>
      <c r="B23" s="61" t="s">
        <v>270</v>
      </c>
      <c r="C23" s="29" t="s">
        <v>268</v>
      </c>
      <c r="D23" s="58" t="s">
        <v>243</v>
      </c>
      <c r="E23" t="s">
        <v>222</v>
      </c>
      <c r="F23" t="s">
        <v>271</v>
      </c>
    </row>
    <row r="24" spans="1:6" ht="15.75" customHeight="1" x14ac:dyDescent="0.2">
      <c r="A24" s="29">
        <v>20</v>
      </c>
      <c r="B24" s="61" t="s">
        <v>272</v>
      </c>
      <c r="C24" s="29" t="s">
        <v>273</v>
      </c>
      <c r="D24" s="58"/>
      <c r="E24" t="s">
        <v>137</v>
      </c>
      <c r="F24" t="s">
        <v>274</v>
      </c>
    </row>
    <row r="25" spans="1:6" ht="15.75" customHeight="1" x14ac:dyDescent="0.2">
      <c r="A25">
        <v>21</v>
      </c>
      <c r="B25" t="s">
        <v>275</v>
      </c>
      <c r="C25" s="62" t="s">
        <v>276</v>
      </c>
      <c r="D25" t="s">
        <v>243</v>
      </c>
      <c r="E25" t="s">
        <v>222</v>
      </c>
      <c r="F25" t="s">
        <v>277</v>
      </c>
    </row>
    <row r="26" spans="1:6" ht="15.75" customHeight="1" x14ac:dyDescent="0.2">
      <c r="A26" s="57">
        <v>22</v>
      </c>
      <c r="B26" s="52" t="s">
        <v>278</v>
      </c>
      <c r="C26" s="57" t="s">
        <v>279</v>
      </c>
      <c r="D26" t="s">
        <v>243</v>
      </c>
      <c r="E26" s="52" t="s">
        <v>222</v>
      </c>
      <c r="F26" t="s">
        <v>280</v>
      </c>
    </row>
    <row r="27" spans="1:6" ht="32" customHeight="1" x14ac:dyDescent="0.2">
      <c r="A27" s="57">
        <v>23</v>
      </c>
      <c r="B27" s="58" t="s">
        <v>281</v>
      </c>
      <c r="C27" t="s">
        <v>282</v>
      </c>
      <c r="E27" t="s">
        <v>137</v>
      </c>
      <c r="F27" t="s">
        <v>283</v>
      </c>
    </row>
    <row r="28" spans="1:6" ht="22.5" customHeight="1" x14ac:dyDescent="0.2">
      <c r="A28" s="57">
        <v>24</v>
      </c>
      <c r="B28" s="58" t="s">
        <v>284</v>
      </c>
      <c r="C28" t="s">
        <v>282</v>
      </c>
      <c r="D28" t="s">
        <v>243</v>
      </c>
      <c r="E28" t="s">
        <v>222</v>
      </c>
      <c r="F28" t="s">
        <v>285</v>
      </c>
    </row>
    <row r="29" spans="1:6" ht="15.75" customHeight="1" x14ac:dyDescent="0.2">
      <c r="A29" s="57">
        <v>25</v>
      </c>
      <c r="B29" s="59" t="s">
        <v>286</v>
      </c>
      <c r="C29" s="57" t="s">
        <v>24</v>
      </c>
      <c r="D29" s="60" t="s">
        <v>229</v>
      </c>
      <c r="E29" t="s">
        <v>232</v>
      </c>
      <c r="F29" s="59" t="s">
        <v>287</v>
      </c>
    </row>
    <row r="30" spans="1:6" ht="63" customHeight="1" x14ac:dyDescent="0.2">
      <c r="A30" s="29">
        <v>26</v>
      </c>
      <c r="B30" s="61" t="s">
        <v>288</v>
      </c>
      <c r="C30" s="29" t="s">
        <v>24</v>
      </c>
      <c r="D30" s="58" t="s">
        <v>229</v>
      </c>
      <c r="E30" t="s">
        <v>222</v>
      </c>
      <c r="F30" t="s">
        <v>289</v>
      </c>
    </row>
    <row r="31" spans="1:6" x14ac:dyDescent="0.2">
      <c r="B31" s="61"/>
      <c r="D31" s="58"/>
    </row>
    <row r="32" spans="1:6" ht="15.75" customHeight="1" x14ac:dyDescent="0.2">
      <c r="B32" s="61"/>
      <c r="D32" s="58"/>
    </row>
    <row r="33" spans="1:6" ht="15.75" customHeight="1" x14ac:dyDescent="0.2">
      <c r="B33" s="61"/>
    </row>
    <row r="34" spans="1:6" x14ac:dyDescent="0.2">
      <c r="A34" s="57"/>
      <c r="C34" s="57"/>
    </row>
    <row r="35" spans="1:6" x14ac:dyDescent="0.2">
      <c r="A35" s="57"/>
      <c r="B35" s="58"/>
    </row>
    <row r="36" spans="1:6" x14ac:dyDescent="0.2">
      <c r="A36" s="57"/>
      <c r="B36" s="58"/>
    </row>
    <row r="37" spans="1:6" ht="15.75" customHeight="1" x14ac:dyDescent="0.2">
      <c r="A37" s="57"/>
      <c r="B37" s="59"/>
      <c r="C37" s="57"/>
      <c r="D37" s="60"/>
      <c r="F37" s="59"/>
    </row>
    <row r="38" spans="1:6" x14ac:dyDescent="0.2">
      <c r="B38" s="61"/>
      <c r="D38" s="58"/>
    </row>
    <row r="39" spans="1:6" x14ac:dyDescent="0.2">
      <c r="B39" s="61"/>
      <c r="D39" s="58"/>
    </row>
    <row r="40" spans="1:6" ht="15.75" customHeight="1" x14ac:dyDescent="0.2">
      <c r="B40" s="61"/>
      <c r="D40" s="58"/>
    </row>
    <row r="41" spans="1:6" x14ac:dyDescent="0.2">
      <c r="B41" s="63"/>
    </row>
    <row r="42" spans="1:6" x14ac:dyDescent="0.2">
      <c r="B42" s="63"/>
    </row>
    <row r="43" spans="1:6" x14ac:dyDescent="0.2">
      <c r="B43" s="63"/>
    </row>
    <row r="44" spans="1:6" x14ac:dyDescent="0.2">
      <c r="B44" s="63"/>
    </row>
    <row r="45" spans="1:6" x14ac:dyDescent="0.2">
      <c r="B45" s="63"/>
    </row>
    <row r="46" spans="1:6" x14ac:dyDescent="0.2">
      <c r="B46" s="63"/>
    </row>
    <row r="47" spans="1:6" x14ac:dyDescent="0.2">
      <c r="B47" s="63"/>
    </row>
  </sheetData>
  <mergeCells count="2">
    <mergeCell ref="A2:F2"/>
    <mergeCell ref="A1:F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zoomScale="130" zoomScaleNormal="130" workbookViewId="0">
      <selection activeCell="A7" sqref="A7"/>
    </sheetView>
  </sheetViews>
  <sheetFormatPr baseColWidth="10" defaultColWidth="10.6640625" defaultRowHeight="15" x14ac:dyDescent="0.2"/>
  <cols>
    <col min="1" max="1" width="90.5" customWidth="1"/>
  </cols>
  <sheetData>
    <row r="1" spans="1:3" ht="16.25" customHeight="1" x14ac:dyDescent="0.2">
      <c r="A1" s="285" t="s">
        <v>290</v>
      </c>
      <c r="B1" s="270"/>
      <c r="C1" s="270"/>
    </row>
    <row r="3" spans="1:3" ht="18" customHeight="1" x14ac:dyDescent="0.2">
      <c r="A3" s="3" t="s">
        <v>291</v>
      </c>
    </row>
    <row r="4" spans="1:3" ht="18" customHeight="1" x14ac:dyDescent="0.2">
      <c r="A4" s="3" t="s">
        <v>292</v>
      </c>
    </row>
    <row r="5" spans="1:3" ht="18" customHeight="1" x14ac:dyDescent="0.2">
      <c r="A5" s="3" t="s">
        <v>293</v>
      </c>
    </row>
    <row r="6" spans="1:3" ht="18" customHeight="1" x14ac:dyDescent="0.2">
      <c r="A6" s="3" t="s">
        <v>294</v>
      </c>
    </row>
    <row r="7" spans="1:3" ht="18" customHeight="1" x14ac:dyDescent="0.2">
      <c r="A7" s="64" t="s">
        <v>295</v>
      </c>
    </row>
    <row r="9" spans="1:3" x14ac:dyDescent="0.2">
      <c r="A9" s="65" t="s">
        <v>296</v>
      </c>
    </row>
    <row r="10" spans="1:3" ht="64" customHeight="1" x14ac:dyDescent="0.2">
      <c r="A10" s="21" t="s">
        <v>297</v>
      </c>
    </row>
  </sheetData>
  <mergeCells count="1">
    <mergeCell ref="A1:C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PSP</vt:lpstr>
      <vt:lpstr>Historie</vt:lpstr>
      <vt:lpstr>AP-Beschreibung</vt:lpstr>
      <vt:lpstr>Zeitplan und Statusübersicht</vt:lpstr>
      <vt:lpstr>Testprotokolle</vt:lpstr>
      <vt:lpstr>Hinweise zu dieser Datei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Projektmanagement BRP</dc:title>
  <dc:creator>Thomas Meyer</dc:creator>
  <cp:lastModifiedBy>Athanasios Diamantis</cp:lastModifiedBy>
  <cp:revision>0</cp:revision>
  <dcterms:created xsi:type="dcterms:W3CDTF">2013-05-28T15:13:08Z</dcterms:created>
  <dcterms:modified xsi:type="dcterms:W3CDTF">2026-07-07T08:25:21Z</dcterms:modified>
  <dc:language>en-US</dc:language>
</cp:coreProperties>
</file>